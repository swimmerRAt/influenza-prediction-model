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choco\Desktop\정부과제\2505-2712 감염병\1년차\사업 관련 문서\1. 데이터 수집\"/>
    </mc:Choice>
  </mc:AlternateContent>
  <xr:revisionPtr revIDLastSave="0" documentId="13_ncr:1_{E707F23F-34E6-4B5C-888D-B9468637E07E}" xr6:coauthVersionLast="47" xr6:coauthVersionMax="47" xr10:uidLastSave="{00000000-0000-0000-0000-000000000000}"/>
  <bookViews>
    <workbookView xWindow="-93" yWindow="-93" windowWidth="25786" windowHeight="13986" firstSheet="1" activeTab="3" xr2:uid="{00000000-000D-0000-FFFF-FFFF00000000}"/>
  </bookViews>
  <sheets>
    <sheet name="데이터 유형" sheetId="3" r:id="rId1"/>
    <sheet name="데이터 요구사항" sheetId="1" r:id="rId2"/>
    <sheet name="데이터소스" sheetId="2" r:id="rId3"/>
    <sheet name="자동수집데이터리스트" sheetId="7" r:id="rId4"/>
    <sheet name="수동수집데이터리스트" sheetId="9" r:id="rId5"/>
    <sheet name="확산추세_필수요구데이터" sheetId="5" r:id="rId6"/>
    <sheet name="기타" sheetId="6" r:id="rId7"/>
    <sheet name="Sheet1" sheetId="8" r:id="rId8"/>
  </sheets>
  <definedNames>
    <definedName name="_xlnm._FilterDatabase" localSheetId="7" hidden="1">Sheet1!$A$1:$D$295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21" i="6" l="1"/>
  <c r="I24" i="1" l="1"/>
  <c r="H24" i="1"/>
  <c r="G24" i="1"/>
  <c r="F24" i="1"/>
  <c r="E24" i="1"/>
  <c r="E5" i="1"/>
  <c r="F5" i="1"/>
  <c r="G5" i="1"/>
  <c r="H5" i="1"/>
  <c r="I5" i="1"/>
  <c r="E6" i="1"/>
  <c r="F6" i="1"/>
  <c r="G6" i="1"/>
  <c r="H6" i="1"/>
  <c r="I6" i="1"/>
  <c r="E7" i="1"/>
  <c r="F7" i="1"/>
  <c r="G7" i="1"/>
  <c r="H7" i="1"/>
  <c r="I7" i="1"/>
  <c r="E8" i="1"/>
  <c r="F8" i="1"/>
  <c r="G8" i="1"/>
  <c r="H8" i="1"/>
  <c r="I8" i="1"/>
  <c r="E9" i="1"/>
  <c r="F9" i="1"/>
  <c r="G9" i="1"/>
  <c r="H9" i="1"/>
  <c r="I9" i="1"/>
  <c r="E10" i="1"/>
  <c r="F10" i="1"/>
  <c r="G10" i="1"/>
  <c r="H10" i="1"/>
  <c r="I10" i="1"/>
  <c r="E11" i="1"/>
  <c r="F11" i="1"/>
  <c r="G11" i="1"/>
  <c r="H11" i="1"/>
  <c r="I11" i="1"/>
  <c r="E12" i="1"/>
  <c r="F12" i="1"/>
  <c r="G12" i="1"/>
  <c r="H12" i="1"/>
  <c r="I12" i="1"/>
  <c r="E13" i="1"/>
  <c r="F13" i="1"/>
  <c r="G13" i="1"/>
  <c r="H13" i="1"/>
  <c r="I13" i="1"/>
  <c r="E14" i="1"/>
  <c r="F14" i="1"/>
  <c r="G14" i="1"/>
  <c r="H14" i="1"/>
  <c r="I14" i="1"/>
  <c r="E15" i="1"/>
  <c r="F15" i="1"/>
  <c r="G15" i="1"/>
  <c r="H15" i="1"/>
  <c r="I15" i="1"/>
  <c r="E16" i="1"/>
  <c r="F16" i="1"/>
  <c r="G16" i="1"/>
  <c r="H16" i="1"/>
  <c r="I16" i="1"/>
  <c r="E17" i="1"/>
  <c r="F17" i="1"/>
  <c r="G17" i="1"/>
  <c r="H17" i="1"/>
  <c r="I17" i="1"/>
  <c r="E18" i="1"/>
  <c r="F18" i="1"/>
  <c r="G18" i="1"/>
  <c r="H18" i="1"/>
  <c r="I18" i="1"/>
  <c r="E19" i="1"/>
  <c r="F19" i="1"/>
  <c r="G19" i="1"/>
  <c r="H19" i="1"/>
  <c r="I19" i="1"/>
  <c r="E20" i="1"/>
  <c r="F20" i="1"/>
  <c r="G20" i="1"/>
  <c r="H20" i="1"/>
  <c r="I20" i="1"/>
  <c r="E21" i="1"/>
  <c r="F21" i="1"/>
  <c r="G21" i="1"/>
  <c r="H21" i="1"/>
  <c r="I21" i="1"/>
  <c r="E22" i="1"/>
  <c r="F22" i="1"/>
  <c r="G22" i="1"/>
  <c r="H22" i="1"/>
  <c r="I22" i="1"/>
  <c r="E23" i="1"/>
  <c r="F23" i="1"/>
  <c r="G23" i="1"/>
  <c r="H23" i="1"/>
  <c r="I23" i="1"/>
  <c r="E25" i="1"/>
  <c r="F25" i="1"/>
  <c r="G25" i="1"/>
  <c r="H25" i="1"/>
  <c r="I25" i="1"/>
  <c r="E26" i="1"/>
  <c r="F26" i="1"/>
  <c r="G26" i="1"/>
  <c r="H26" i="1"/>
  <c r="I26" i="1"/>
  <c r="E27" i="1"/>
  <c r="F27" i="1"/>
  <c r="G27" i="1"/>
  <c r="H27" i="1"/>
  <c r="I27" i="1"/>
  <c r="E28" i="1"/>
  <c r="F28" i="1"/>
  <c r="G28" i="1"/>
  <c r="H28" i="1"/>
  <c r="I28" i="1"/>
  <c r="E29" i="1"/>
  <c r="F29" i="1"/>
  <c r="G29" i="1"/>
  <c r="H29" i="1"/>
  <c r="I29" i="1"/>
  <c r="E30" i="1"/>
  <c r="F30" i="1"/>
  <c r="G30" i="1"/>
  <c r="H30" i="1"/>
  <c r="I30" i="1"/>
  <c r="E31" i="1"/>
  <c r="F31" i="1"/>
  <c r="G31" i="1"/>
  <c r="H31" i="1"/>
  <c r="I31" i="1"/>
  <c r="E32" i="1"/>
  <c r="F32" i="1"/>
  <c r="G32" i="1"/>
  <c r="H32" i="1"/>
  <c r="I32" i="1"/>
  <c r="E33" i="1"/>
  <c r="F33" i="1"/>
  <c r="G33" i="1"/>
  <c r="H33" i="1"/>
  <c r="I33" i="1"/>
  <c r="E34" i="1"/>
  <c r="F34" i="1"/>
  <c r="G34" i="1"/>
  <c r="H34" i="1"/>
  <c r="I34" i="1"/>
  <c r="E35" i="1"/>
  <c r="F35" i="1"/>
  <c r="G35" i="1"/>
  <c r="H35" i="1"/>
  <c r="I35" i="1"/>
  <c r="E36" i="1"/>
  <c r="F36" i="1"/>
  <c r="G36" i="1"/>
  <c r="H36" i="1"/>
  <c r="I36" i="1"/>
  <c r="E37" i="1"/>
  <c r="F37" i="1"/>
  <c r="G37" i="1"/>
  <c r="H37" i="1"/>
  <c r="I37" i="1"/>
  <c r="E38" i="1"/>
  <c r="F38" i="1"/>
  <c r="G38" i="1"/>
  <c r="H38" i="1"/>
  <c r="I38" i="1"/>
  <c r="E39" i="1"/>
  <c r="F39" i="1"/>
  <c r="G39" i="1"/>
  <c r="H39" i="1"/>
  <c r="I39" i="1"/>
  <c r="E40" i="1"/>
  <c r="F40" i="1"/>
  <c r="G40" i="1"/>
  <c r="H40" i="1"/>
  <c r="I40" i="1"/>
  <c r="E41" i="1"/>
  <c r="F41" i="1"/>
  <c r="G41" i="1"/>
  <c r="H41" i="1"/>
  <c r="I41" i="1"/>
  <c r="E42" i="1"/>
  <c r="F42" i="1"/>
  <c r="G42" i="1"/>
  <c r="H42" i="1"/>
  <c r="I42" i="1"/>
  <c r="I4" i="1"/>
  <c r="H4" i="1"/>
  <c r="G4" i="1"/>
  <c r="F4" i="1"/>
  <c r="E4" i="1"/>
</calcChain>
</file>

<file path=xl/sharedStrings.xml><?xml version="1.0" encoding="utf-8"?>
<sst xmlns="http://schemas.openxmlformats.org/spreadsheetml/2006/main" count="2019" uniqueCount="1324">
  <si>
    <t>감염자 수(주별·월별 발생률)</t>
  </si>
  <si>
    <t>지역별 감염분포</t>
  </si>
  <si>
    <t>연령대별/성별 감염률</t>
  </si>
  <si>
    <t>병원 방문 환자 수</t>
  </si>
  <si>
    <t>중증 환자 비율</t>
  </si>
  <si>
    <t>사망률 및 합병증 발생률</t>
  </si>
  <si>
    <t>백신 접종률(지역별)</t>
  </si>
  <si>
    <t>방역 정책 및 대응조치</t>
  </si>
  <si>
    <t>백신효과 및 내성 데이터</t>
  </si>
  <si>
    <t>중증환자 및 사망률</t>
  </si>
  <si>
    <t>병상 가동률</t>
  </si>
  <si>
    <t>의료진 수급상황</t>
  </si>
  <si>
    <t>치료제 및 백신개발여부</t>
  </si>
  <si>
    <t>신규바이러스 발생여부</t>
  </si>
  <si>
    <t>인구밀도</t>
  </si>
  <si>
    <t>도시화율</t>
  </si>
  <si>
    <t>교통량</t>
  </si>
  <si>
    <t>방역정책(마스크,모임등)</t>
  </si>
  <si>
    <t>병상점유율 및 회전율</t>
  </si>
  <si>
    <t>지역별 병원 수용능력</t>
  </si>
  <si>
    <t>병원별 장비 보유</t>
  </si>
  <si>
    <t>이송수단(구급차, 헬기, 응급의료팀 동반)</t>
  </si>
  <si>
    <t>구급차량 및 이송 인력현황</t>
  </si>
  <si>
    <t>교통상황 및 병원까지 접근성</t>
  </si>
  <si>
    <t>의료진 근무현황</t>
  </si>
  <si>
    <t>병원별 감염병 대응단계</t>
  </si>
  <si>
    <t>격리시설 및 음압치료가능병원</t>
  </si>
  <si>
    <t>응급 이송 후 전원 후속 치료 가능여부</t>
  </si>
  <si>
    <t>필요 데이터</t>
    <phoneticPr fontId="2" type="noConversion"/>
  </si>
  <si>
    <t>카테고리</t>
    <phoneticPr fontId="2" type="noConversion"/>
  </si>
  <si>
    <t>서비스명</t>
    <phoneticPr fontId="2" type="noConversion"/>
  </si>
  <si>
    <t>서비스URL</t>
    <phoneticPr fontId="2" type="noConversion"/>
  </si>
  <si>
    <t>질병관리청(KDCA)</t>
    <phoneticPr fontId="2" type="noConversion"/>
  </si>
  <si>
    <t>건강보험심사평가원(HIRA)</t>
    <phoneticPr fontId="2" type="noConversion"/>
  </si>
  <si>
    <t>국가통계포털(KOSIS)</t>
    <phoneticPr fontId="2" type="noConversion"/>
  </si>
  <si>
    <t>공공데이터포털(data.go.kr)</t>
    <phoneticPr fontId="2" type="noConversion"/>
  </si>
  <si>
    <t>식별자</t>
    <phoneticPr fontId="2" type="noConversion"/>
  </si>
  <si>
    <t>R01</t>
    <phoneticPr fontId="2" type="noConversion"/>
  </si>
  <si>
    <t>R02</t>
  </si>
  <si>
    <t>R03</t>
  </si>
  <si>
    <t>R04</t>
  </si>
  <si>
    <t>R05</t>
  </si>
  <si>
    <t>R06</t>
  </si>
  <si>
    <t>R07</t>
  </si>
  <si>
    <t>R08</t>
  </si>
  <si>
    <t>R09</t>
  </si>
  <si>
    <t>R10</t>
  </si>
  <si>
    <t>R11</t>
  </si>
  <si>
    <t>R12</t>
  </si>
  <si>
    <t>R13</t>
  </si>
  <si>
    <t>R14</t>
  </si>
  <si>
    <t>R15</t>
  </si>
  <si>
    <t>R16</t>
  </si>
  <si>
    <t>R17</t>
  </si>
  <si>
    <t>R18</t>
  </si>
  <si>
    <t>R19</t>
  </si>
  <si>
    <t>R20</t>
  </si>
  <si>
    <t>R21</t>
  </si>
  <si>
    <t>R22</t>
  </si>
  <si>
    <t>R23</t>
  </si>
  <si>
    <t>R24</t>
  </si>
  <si>
    <t>R25</t>
  </si>
  <si>
    <t>R26</t>
  </si>
  <si>
    <t>R27</t>
  </si>
  <si>
    <t>R28</t>
  </si>
  <si>
    <t>R29</t>
  </si>
  <si>
    <t>R30</t>
  </si>
  <si>
    <t>R31</t>
  </si>
  <si>
    <t>R32</t>
  </si>
  <si>
    <t>R33</t>
  </si>
  <si>
    <t>R34</t>
  </si>
  <si>
    <t>R35</t>
  </si>
  <si>
    <t>R36</t>
  </si>
  <si>
    <t>R37</t>
  </si>
  <si>
    <t>ID</t>
    <phoneticPr fontId="2" type="noConversion"/>
  </si>
  <si>
    <t>제공기관</t>
    <phoneticPr fontId="2" type="noConversion"/>
  </si>
  <si>
    <t>임상 데이터</t>
    <phoneticPr fontId="2" type="noConversion"/>
  </si>
  <si>
    <t>역학 데이터</t>
    <phoneticPr fontId="2" type="noConversion"/>
  </si>
  <si>
    <t>환경 데이터</t>
    <phoneticPr fontId="2" type="noConversion"/>
  </si>
  <si>
    <t>사회·행태 데이터</t>
    <phoneticPr fontId="2" type="noConversion"/>
  </si>
  <si>
    <t>공중보건 정책 데이터</t>
    <phoneticPr fontId="2" type="noConversion"/>
  </si>
  <si>
    <t>의료자원 데이터</t>
    <phoneticPr fontId="2" type="noConversion"/>
  </si>
  <si>
    <t>진료지원 인프라 데이터</t>
    <phoneticPr fontId="2" type="noConversion"/>
  </si>
  <si>
    <t>의약품 및 처방 데이터</t>
    <phoneticPr fontId="2" type="noConversion"/>
  </si>
  <si>
    <t>데이터 유형</t>
    <phoneticPr fontId="2" type="noConversion"/>
  </si>
  <si>
    <t>유형식별자</t>
    <phoneticPr fontId="2" type="noConversion"/>
  </si>
  <si>
    <t>DT-01</t>
    <phoneticPr fontId="2" type="noConversion"/>
  </si>
  <si>
    <t>DT-02</t>
  </si>
  <si>
    <t>DT-03</t>
  </si>
  <si>
    <t>DT-04</t>
  </si>
  <si>
    <t>DT-05</t>
  </si>
  <si>
    <t>DT-06</t>
  </si>
  <si>
    <t>DT-07</t>
  </si>
  <si>
    <t>DT-08</t>
  </si>
  <si>
    <t>검토의견</t>
    <phoneticPr fontId="2" type="noConversion"/>
  </si>
  <si>
    <t>최영준</t>
    <phoneticPr fontId="2" type="noConversion"/>
  </si>
  <si>
    <t>박성식</t>
    <phoneticPr fontId="2" type="noConversion"/>
  </si>
  <si>
    <t>이준욱</t>
    <phoneticPr fontId="2" type="noConversion"/>
  </si>
  <si>
    <t>진료지원 인프라 데이터</t>
  </si>
  <si>
    <t>의료자원 데이터</t>
  </si>
  <si>
    <t>사회·행태 데이터</t>
  </si>
  <si>
    <t>의약품 및 처방 데이터</t>
  </si>
  <si>
    <t>역학 데이터</t>
  </si>
  <si>
    <t>국가통계포털(KOSIS)</t>
  </si>
  <si>
    <t>-전국 응급의료기관 정보 조회 서비스</t>
    <phoneticPr fontId="2" type="noConversion"/>
  </si>
  <si>
    <t>공공데이터포털(data.go.kr)</t>
  </si>
  <si>
    <t>확진자 수 및 발생률(일별, 주별, 지역별)</t>
    <phoneticPr fontId="2" type="noConversion"/>
  </si>
  <si>
    <t>질병관리청(KDCA)</t>
  </si>
  <si>
    <t>수도권 생활이동 (연령별, 출발-도착지 기준)-내국인</t>
    <phoneticPr fontId="2" type="noConversion"/>
  </si>
  <si>
    <t>https://data.seoul.go.kr/dataList/OA-22299/F/1/datasetView.do</t>
    <phoneticPr fontId="2" type="noConversion"/>
  </si>
  <si>
    <t>서울시 열린데이터광장</t>
  </si>
  <si>
    <t>서울시 열린데이터광장</t>
    <phoneticPr fontId="2" type="noConversion"/>
  </si>
  <si>
    <t>응급의료통계 포털</t>
    <phoneticPr fontId="2" type="noConversion"/>
  </si>
  <si>
    <t>https://e-medis.nemc.or.kr/portal/stat/easyStatPage.do</t>
    <phoneticPr fontId="2" type="noConversion"/>
  </si>
  <si>
    <t>응급의료정보망, 중증응급질환관련 통계</t>
    <phoneticPr fontId="2" type="noConversion"/>
  </si>
  <si>
    <t>제공방식</t>
    <phoneticPr fontId="2" type="noConversion"/>
  </si>
  <si>
    <t>OpenAPI</t>
    <phoneticPr fontId="2" type="noConversion"/>
  </si>
  <si>
    <t>포털</t>
    <phoneticPr fontId="2" type="noConversion"/>
  </si>
  <si>
    <t>전국 응급의료기관 정보 조회 서비스</t>
  </si>
  <si>
    <t>https://www.data.go.kr/data/15000563/openapi.do</t>
    <phoneticPr fontId="2" type="noConversion"/>
  </si>
  <si>
    <t>- 서울시 한정
- 이동데이터 구조등이 다양
- 역학조사지원시스템(EISS) 연계 가능여부 확인 필요</t>
    <phoneticPr fontId="2" type="noConversion"/>
  </si>
  <si>
    <t>치료제 처방데이터</t>
    <phoneticPr fontId="2" type="noConversion"/>
  </si>
  <si>
    <t>감염병 포털-전수감시 감염병(기간별 통계)</t>
    <phoneticPr fontId="2" type="noConversion"/>
  </si>
  <si>
    <t>https://dportal.kdca.go.kr/pot/is/summaryEDW.do</t>
    <phoneticPr fontId="2" type="noConversion"/>
  </si>
  <si>
    <t>파일</t>
    <phoneticPr fontId="2" type="noConversion"/>
  </si>
  <si>
    <t>- 1/2/3급 감염병 대상, 기간은 년도/월별  주간 발행통계/지역별 발생통계
- 일별 발생 통계 데이터 없음</t>
    <phoneticPr fontId="2" type="noConversion"/>
  </si>
  <si>
    <t>성 및 연령별 인구와 인구밀도</t>
  </si>
  <si>
    <t>인플루엔자 변종 및 유형별 감염률</t>
    <phoneticPr fontId="2" type="noConversion"/>
  </si>
  <si>
    <t>공공데이터 포털에 '국민건강보험공단_감염성질환(인플루엔자) 의료이용정보 제공'서비스는 있으나 연관데이터 비식별됨</t>
    <phoneticPr fontId="2" type="noConversion"/>
  </si>
  <si>
    <t>- 감염병 포털서비스를 통해 감염병 지역별 발생 현황 통계 정보(연간발생) 제공중</t>
    <phoneticPr fontId="2" type="noConversion"/>
  </si>
  <si>
    <t>건강보험심사평가원_의료기관별 감염병 및 중증환자 치료시설 현황</t>
    <phoneticPr fontId="2" type="noConversion"/>
  </si>
  <si>
    <t>https://www.data.go.kr/data/15085951/fileData.do</t>
    <phoneticPr fontId="2" type="noConversion"/>
  </si>
  <si>
    <t>보건복지부_제1군 감염병 발생 수 및 사망자 수</t>
    <phoneticPr fontId="2" type="noConversion"/>
  </si>
  <si>
    <t>https://www.data.go.kr/data/15128046/fileData.do</t>
    <phoneticPr fontId="2" type="noConversion"/>
  </si>
  <si>
    <t>- 1/2/3/4군별 발생율과 사망자 수(5년기준), 최근 ~2019년까지</t>
    <phoneticPr fontId="2" type="noConversion"/>
  </si>
  <si>
    <t>식품의약품안전처_감염병백신의약품 제품정보</t>
    <phoneticPr fontId="2" type="noConversion"/>
  </si>
  <si>
    <t>https://www.data.go.kr/data/15084885/openapi.do</t>
    <phoneticPr fontId="2" type="noConversion"/>
  </si>
  <si>
    <t>- 건강보험심사평가원(HIRA)에서 공개한 통계데이터 수준
- 개인처방정보는 정보 접근 어려움</t>
    <phoneticPr fontId="2" type="noConversion"/>
  </si>
  <si>
    <t>- 감염병 특정해서는 제공 정보 미확인
- 공공데이터 포탈에 소방청_구급활동정보병원제공_환자이송현황은 있으나 연관데이터는 미식별됨</t>
    <phoneticPr fontId="2" type="noConversion"/>
  </si>
  <si>
    <t>'- 소방 빅데이터 플랫폼: 질병 구급 출동현황(서울소방청), 21년분, 출동거리, 시간 존재/질병에 감염병원인은 없음</t>
  </si>
  <si>
    <t>소방안전 빅데이터 플랫폼</t>
  </si>
  <si>
    <t>소방안전 빅데이터 플랫폼</t>
    <phoneticPr fontId="2" type="noConversion"/>
  </si>
  <si>
    <t>질병 구급출동 현황</t>
    <phoneticPr fontId="2" type="noConversion"/>
  </si>
  <si>
    <t>https://www.bigdata-119.kr/goods/goodsInfo?goods_id=202302000065</t>
    <phoneticPr fontId="2" type="noConversion"/>
  </si>
  <si>
    <t>환자 이송 시 위험요인(예: 산소치료유지필요, 응급조치 가능여부)</t>
    <phoneticPr fontId="2" type="noConversion"/>
  </si>
  <si>
    <t>환자이송거리 및 소요시간</t>
    <phoneticPr fontId="2" type="noConversion"/>
  </si>
  <si>
    <t xml:space="preserve">https://portal.nemc.or.kr:444/medi_info/dashboards/dash_total_emer_org_popup_for_egen.do </t>
    <phoneticPr fontId="2" type="noConversion"/>
  </si>
  <si>
    <t>건강보험심사평가원(HIRA)</t>
  </si>
  <si>
    <t xml:space="preserve">https://www.hira.or.kr/bbsDummy.do?pgmid=HIRAA020045020000 </t>
    <phoneticPr fontId="2" type="noConversion"/>
  </si>
  <si>
    <t>종합현황판</t>
    <phoneticPr fontId="2" type="noConversion"/>
  </si>
  <si>
    <t>- 월별 지역별 병원 방문 환자 수 제공
- 개별 병원에 대한 정보는 제공하지 않음</t>
    <phoneticPr fontId="2" type="noConversion"/>
  </si>
  <si>
    <t>공중보건 정책 데이터</t>
  </si>
  <si>
    <t>의료정보-연구,통계-통계자료실-건강보험통계연보</t>
    <phoneticPr fontId="2" type="noConversion"/>
  </si>
  <si>
    <t>구글</t>
  </si>
  <si>
    <t>구글</t>
    <phoneticPr fontId="2" type="noConversion"/>
  </si>
  <si>
    <t>구글 트렌드</t>
    <phoneticPr fontId="2" type="noConversion"/>
  </si>
  <si>
    <t>- 정확한 수치가 아닌 비율적으로 제공
- (비공식)라이브러리 사용</t>
    <phoneticPr fontId="2" type="noConversion"/>
  </si>
  <si>
    <t>의료통계정보-의료자원 통계-인력 현황-지역별 종별 의료인력I(의사 등)</t>
    <phoneticPr fontId="2" type="noConversion"/>
  </si>
  <si>
    <t>종합상황판</t>
    <phoneticPr fontId="2" type="noConversion"/>
  </si>
  <si>
    <t xml:space="preserve">https://trends.google.co.kr/trends/ </t>
    <phoneticPr fontId="2" type="noConversion"/>
  </si>
  <si>
    <t>포털</t>
    <phoneticPr fontId="2" type="noConversion"/>
  </si>
  <si>
    <t>한국도로공사</t>
  </si>
  <si>
    <t>한국도로공사</t>
    <phoneticPr fontId="2" type="noConversion"/>
  </si>
  <si>
    <t>실시간 전국 교통량</t>
    <phoneticPr fontId="2" type="noConversion"/>
  </si>
  <si>
    <t>실시간 전국 교통량</t>
    <phoneticPr fontId="2" type="noConversion"/>
  </si>
  <si>
    <t>- 1시간, 15분, 5분 단위 전국 교통량 제공</t>
    <phoneticPr fontId="2" type="noConversion"/>
  </si>
  <si>
    <t>- 2024. 06월 말 자료 
- 전국 의료기관의 중환자실 및 격리병실 병상 정보 제공</t>
    <phoneticPr fontId="2" type="noConversion"/>
  </si>
  <si>
    <t>경기도 구급차 및 구급대원 현황</t>
    <phoneticPr fontId="2" type="noConversion"/>
  </si>
  <si>
    <t>경기데이터드림</t>
  </si>
  <si>
    <t>경기데이터드림</t>
    <phoneticPr fontId="2" type="noConversion"/>
  </si>
  <si>
    <t>- 경기도 한정 
- 구급차수, 구급대원 수 확인 가능</t>
    <phoneticPr fontId="2" type="noConversion"/>
  </si>
  <si>
    <t>- 미확인</t>
    <phoneticPr fontId="2" type="noConversion"/>
  </si>
  <si>
    <t>질병관리청 _코로나19 예방접종 통계 현황</t>
    <phoneticPr fontId="2" type="noConversion"/>
  </si>
  <si>
    <t>파일</t>
    <phoneticPr fontId="2" type="noConversion"/>
  </si>
  <si>
    <t>질병관리청_코로나19 예방접종 통계 현황</t>
    <phoneticPr fontId="2" type="noConversion"/>
  </si>
  <si>
    <t>응급의료모니터링시스템</t>
    <phoneticPr fontId="2" type="noConversion"/>
  </si>
  <si>
    <t>- 감염병에 특화된 데이터 미확인
- VQA-MED 2018~2020, VQA-RAD, etc.</t>
    <phoneticPr fontId="2" type="noConversion"/>
  </si>
  <si>
    <t>공개의료데이터셋 (예: VQA-Med )</t>
    <phoneticPr fontId="2" type="noConversion"/>
  </si>
  <si>
    <t>임상 데이터</t>
  </si>
  <si>
    <t>파일(xml, csv)</t>
    <phoneticPr fontId="2" type="noConversion"/>
  </si>
  <si>
    <t>지역별 감염병 발생현황(질병별 연도별 월별 기간별_ 통계)</t>
  </si>
  <si>
    <t>지역별 감염병 발생현황(질병별 연도별 월별 기간별_ 통계)</t>
    <phoneticPr fontId="2" type="noConversion"/>
  </si>
  <si>
    <t>응급의료모니터링시스템</t>
  </si>
  <si>
    <t>https://www.data.go.kr/data/15131145/fileData.do?recommendDataYn=Y</t>
    <phoneticPr fontId="2" type="noConversion"/>
  </si>
  <si>
    <t>- 감염병 관련 데이터 미확인</t>
    <phoneticPr fontId="2" type="noConversion"/>
  </si>
  <si>
    <t>https://dw.nemc.or.kr/nemcMonitoring/mainmgr/Main.do</t>
    <phoneticPr fontId="2" type="noConversion"/>
  </si>
  <si>
    <t>국립중앙의료원(NMC)</t>
  </si>
  <si>
    <t>- 구조화된 개방 데이터 미확인</t>
    <phoneticPr fontId="2" type="noConversion"/>
  </si>
  <si>
    <t>중앙응급의료센터(NEMC)</t>
  </si>
  <si>
    <t>중앙응급의료센터(NEMC)</t>
    <phoneticPr fontId="2" type="noConversion"/>
  </si>
  <si>
    <t>- 주요통계(기간별), 주요통계(지역별), 주요통계(성별/연령별), 
- 감염병별, 지역별, 성별/연령별 감염병 통계 확인</t>
    <phoneticPr fontId="2" type="noConversion"/>
  </si>
  <si>
    <t>- 병원 별 보유 장비 현황
- 현재 데이터만 확인 가능</t>
    <phoneticPr fontId="2" type="noConversion"/>
  </si>
  <si>
    <t>- 응급실, 입원병상
- 현재 데이터만 확인 가능</t>
    <phoneticPr fontId="2" type="noConversion"/>
  </si>
  <si>
    <t>- 구조화된 개방 데이터 미확인
- 관련 의료기관 소속 사용자 접근으로 제한됨</t>
    <phoneticPr fontId="2" type="noConversion"/>
  </si>
  <si>
    <t>- 통계 이력데이터로 제공 확인됨
- 시군구별 분기별 요양종별 인력현황</t>
    <phoneticPr fontId="2" type="noConversion"/>
  </si>
  <si>
    <t>'- 감염병 관련 치료제 정보에 대해서 확인됨
- 임상시험 데이터, 시판 후 조사 데이터, 학술 연구 결과 등 다양한 출처를 통해 확인 필요</t>
    <phoneticPr fontId="2" type="noConversion"/>
  </si>
  <si>
    <t>녹색 부분: 해당 요구사항에 완전히 부합된다고 평가 ==&gt; 부합성 정도에 따라 일부로 조정할지 판단
노랑 : 일부 부합된다고 평가 ==&gt; 부합성 정도 평가에 따라 제외할지 여부 추가 판단
흰색 ==&gt; 관련된게 있는지 추가 조사</t>
    <phoneticPr fontId="2" type="noConversion"/>
  </si>
  <si>
    <t>1차검토자</t>
    <phoneticPr fontId="2" type="noConversion"/>
  </si>
  <si>
    <t>2차</t>
    <phoneticPr fontId="2" type="noConversion"/>
  </si>
  <si>
    <t>박성식</t>
    <phoneticPr fontId="2" type="noConversion"/>
  </si>
  <si>
    <t>최영준</t>
    <phoneticPr fontId="2" type="noConversion"/>
  </si>
  <si>
    <t>제공 주기</t>
    <phoneticPr fontId="2" type="noConversion"/>
  </si>
  <si>
    <t>추가의견</t>
    <phoneticPr fontId="2" type="noConversion"/>
  </si>
  <si>
    <t>- 1차 검토의견과 동일</t>
    <phoneticPr fontId="2" type="noConversion"/>
  </si>
  <si>
    <t>- 1차 검토의견과 동일, 차량 대수로 제공
- 고속도로 노선별 방향별 일별 15분 구간교통량 정보도 존재
- 국도, 일반로의 경우 데이터 존재하지 않음</t>
    <phoneticPr fontId="2" type="noConversion"/>
  </si>
  <si>
    <t>- 참고) 주요 질병별 기초감염재생산수
https://ko.wikipedia.org/wiki/%EA%B8%B0%EC%B4%88%EA%B0%90%EC%97%BC%EC%9E%AC%EC%83%9D%EC%82%B0%EC%88%98</t>
    <phoneticPr fontId="2" type="noConversion"/>
  </si>
  <si>
    <t>- 연간, 시도별 구급차수 및 응급구조사 수 통계 존재
참고) https://kosis.kr/statHtml/statHtml.do?orgId=411&amp;tblId=DT_41104_421&amp;conn_path=I2</t>
    <phoneticPr fontId="2" type="noConversion"/>
  </si>
  <si>
    <t>- 시군구별 연도별 도시화율(도시지역 인구비율) 데이터 존재
참고) https://www.index.go.kr/unity/potal/main/EachDtlPageDetail.do?idx_cd=1200</t>
    <phoneticPr fontId="2" type="noConversion"/>
  </si>
  <si>
    <t>- 1차 검토의견과 동일
- 참고) 소아 예방접종률:
https://kosis.kr/statHtml/statHtml.do?orgId=177&amp;tblId=DT_11793N_163&amp;conn_path=I2
- 참고) 시군구별 연도별 인플루엔자 접종률:
https://kosis.kr/statHtml/statHtml.do?orgId=101&amp;tblId=DT_1YL202103E&amp;conn_path=I2</t>
    <phoneticPr fontId="2" type="noConversion"/>
  </si>
  <si>
    <t>https://dportal.kdca.go.kr/pot/is/summaryRgin.do</t>
    <phoneticPr fontId="2" type="noConversion"/>
  </si>
  <si>
    <t>https://opendata.hira.or.kr/op/opc/olapHumanResourceStatInfoTab1.do</t>
    <phoneticPr fontId="2" type="noConversion"/>
  </si>
  <si>
    <t>분기</t>
    <phoneticPr fontId="2" type="noConversion"/>
  </si>
  <si>
    <t>https://kosis.kr/openapi/Param/statisticsParameterData.do?method=getList&amp;apiKey=YjhkNjhiMTM1YTU0ZjJlZGEzNTU2MmYxYTMwZGM0YzY=&amp;itmId=00+&amp;objL1=ALL&amp;objL2=ALL&amp;objL3=&amp;objL4=&amp;objL5=&amp;objL6=&amp;objL7=&amp;objL8=&amp;format=json&amp;jsonVD=Y&amp;prdSe=Y&amp;newEstPrdCnt=3&amp;orgId=110&amp;tblId=DT_11001N_2013_A001</t>
    <phoneticPr fontId="2" type="noConversion"/>
  </si>
  <si>
    <t>60분</t>
    <phoneticPr fontId="2" type="noConversion"/>
  </si>
  <si>
    <t>일</t>
    <phoneticPr fontId="2" type="noConversion"/>
  </si>
  <si>
    <t>60분</t>
    <phoneticPr fontId="2" type="noConversion"/>
  </si>
  <si>
    <t>비정기</t>
    <phoneticPr fontId="2" type="noConversion"/>
  </si>
  <si>
    <t>일</t>
    <phoneticPr fontId="2" type="noConversion"/>
  </si>
  <si>
    <t>단일 파일</t>
    <phoneticPr fontId="2" type="noConversion"/>
  </si>
  <si>
    <t>일</t>
    <phoneticPr fontId="2" type="noConversion"/>
  </si>
  <si>
    <t>년, 월, 주</t>
    <phoneticPr fontId="2" type="noConversion"/>
  </si>
  <si>
    <t>년</t>
  </si>
  <si>
    <t>년</t>
    <phoneticPr fontId="2" type="noConversion"/>
  </si>
  <si>
    <t>년</t>
    <phoneticPr fontId="2" type="noConversion"/>
  </si>
  <si>
    <t>비정기</t>
    <phoneticPr fontId="2" type="noConversion"/>
  </si>
  <si>
    <t>https://data.ex.co.kr/openapi/basicinfo/openApiInfoM?apiId=0102&amp;serviceType=&amp;keyWord=&amp;searchDayFrom=undefined&amp;searchDayTo=undefined&amp;CATEGORY=TR&amp;GROUP_TR=&amp;sId=174</t>
    <phoneticPr fontId="2" type="noConversion"/>
  </si>
  <si>
    <t>1시간,15분,5분</t>
    <phoneticPr fontId="2" type="noConversion"/>
  </si>
  <si>
    <t>1시간,4시간,7일 등</t>
    <phoneticPr fontId="2" type="noConversion"/>
  </si>
  <si>
    <t>https://data.gg.go.kr/portal/data/service/selectServicePage.do?page=1&amp;rows=10&amp;sortColumn=&amp;sortDirection=&amp;infId=JE55Y365432IZR9CT9R926586107&amp;infSeq=2</t>
    <phoneticPr fontId="2" type="noConversion"/>
  </si>
  <si>
    <t>년</t>
    <phoneticPr fontId="2" type="noConversion"/>
  </si>
  <si>
    <t>의견</t>
    <phoneticPr fontId="2" type="noConversion"/>
  </si>
  <si>
    <t>동물인플루엔자/신종인플루엔자 모두 사이트 내에 적재된 통계데이터가 없음</t>
    <phoneticPr fontId="2" type="noConversion"/>
  </si>
  <si>
    <t>해당 url이 접근 권한이 필요한 인트라넷인걸로 보임. 정상적인 경로로 권한 얻어 정보를 취득할 것인지 비정상적인 경로로 해당 정보를 접근할 것이지 논의 필요.</t>
    <phoneticPr fontId="2" type="noConversion"/>
  </si>
  <si>
    <t>전북대 의견</t>
    <phoneticPr fontId="2" type="noConversion"/>
  </si>
  <si>
    <t>MIMIC-IV 의료데이터셋(임상) 소스사이트의 전북대 계정 생성 완료. VQA-Med는 더 찾아봐야 하나, MIMIC-IV 파생 영상의학이미지 데이터셋 확인됨</t>
    <phoneticPr fontId="2" type="noConversion"/>
  </si>
  <si>
    <t>https://app.powerbi.com/view?r=eyJrIjoiNjViM2Y4NjktMjJmMC00Y2NjLWFmOWQtODQ0NjZkNWM1YzNmIiwidCI6ImY2MTBjMGI3LWJkMjQtNGIzOS04MTBiLTNkYzI4MGFmYjU5MCIsImMiOjh9</t>
    <phoneticPr fontId="2" type="noConversion"/>
  </si>
  <si>
    <t>역조시스템 사용 안할 예정이므로 후순위</t>
    <phoneticPr fontId="2" type="noConversion"/>
  </si>
  <si>
    <t>병원데이터 활용</t>
    <phoneticPr fontId="2" type="noConversion"/>
  </si>
  <si>
    <t>통계데이터 확보 요청</t>
    <phoneticPr fontId="2" type="noConversion"/>
  </si>
  <si>
    <t>KCDC 에서 1~3급 상 인플루엔자 데이터 확인요청</t>
    <phoneticPr fontId="2" type="noConversion"/>
  </si>
  <si>
    <t>*환경데이터와 데이터 항목 구분 요청
*환경데이터의 경우, 지역별 대기질 데이터 확보 필요 (예: 에어코리아, 기상청 등)
*인플루엔자 관련 검색 트렌드-방역 정책 등과 연계하여 SNS트렌드 데이터 확보 제안
*구글트렌드뿐 아니라 트위터, 네이버 등 타 요소 활용도 검토 요청</t>
    <phoneticPr fontId="2" type="noConversion"/>
  </si>
  <si>
    <t>확보하지 못하는 역학데이터는 SNS등 검색 키워드 데이터로 보완할 수는 없는지?</t>
  </si>
  <si>
    <t>감염 재생산지수</t>
    <phoneticPr fontId="2" type="noConversion"/>
  </si>
  <si>
    <r>
      <t xml:space="preserve">- </t>
    </r>
    <r>
      <rPr>
        <sz val="11"/>
        <color rgb="FFFF0000"/>
        <rFont val="맑은 고딕"/>
        <family val="3"/>
        <charset val="129"/>
        <scheme val="minor"/>
      </rPr>
      <t>구조화된 개방 데이터 미확인</t>
    </r>
    <r>
      <rPr>
        <sz val="11"/>
        <color theme="1"/>
        <rFont val="맑은 고딕"/>
        <family val="2"/>
        <charset val="129"/>
        <scheme val="minor"/>
      </rPr>
      <t xml:space="preserve">
- 코로나19 발생주차에 따른 감염재생산지수 제공(게시판 게시물)
참고) https://www.kdca.go.kr/filepath/boardDownload.es?bid=0034&amp;list_no=712025&amp;seq=1</t>
    </r>
    <phoneticPr fontId="2" type="noConversion"/>
  </si>
  <si>
    <r>
      <rPr>
        <sz val="11"/>
        <color rgb="FFFF0000"/>
        <rFont val="맑은 고딕"/>
        <family val="3"/>
        <charset val="129"/>
        <scheme val="minor"/>
      </rPr>
      <t>'- 구조화된 개방 데이터 미확인</t>
    </r>
    <r>
      <rPr>
        <sz val="11"/>
        <color theme="1"/>
        <rFont val="맑은 고딕"/>
        <family val="2"/>
        <charset val="129"/>
        <scheme val="minor"/>
      </rPr>
      <t xml:space="preserve">
- 참고) 질병관리청 코로나 19 대응 백서: https://www.kdca.go.kr/board/board.es?mid=a20504000000&amp;bid=0014&amp;list_no=727575&amp;act=view</t>
    </r>
    <phoneticPr fontId="2" type="noConversion"/>
  </si>
  <si>
    <r>
      <rPr>
        <sz val="11"/>
        <color rgb="FFFF0000"/>
        <rFont val="맑은 고딕"/>
        <family val="3"/>
        <charset val="129"/>
        <scheme val="minor"/>
      </rPr>
      <t>- 구조화된 개방 데이터 미확인</t>
    </r>
    <r>
      <rPr>
        <sz val="11"/>
        <color theme="1"/>
        <rFont val="맑은 고딕"/>
        <family val="2"/>
        <charset val="129"/>
        <scheme val="minor"/>
      </rPr>
      <t xml:space="preserve">
- 통계청 자료 :통계적 지역분류체계로 본 도시화 현황
-참고) https://kostat.go.kr/board.es?mid=a10301010000&amp;bid=246&amp;list_no=429573&amp;act=view&amp;mainXml=Y</t>
    </r>
    <phoneticPr fontId="2" type="noConversion"/>
  </si>
  <si>
    <r>
      <rPr>
        <sz val="11"/>
        <color rgb="FFFF0000"/>
        <rFont val="맑은 고딕"/>
        <family val="3"/>
        <charset val="129"/>
        <scheme val="minor"/>
      </rPr>
      <t>- Open API, 개방데이터 형태로는 미확인</t>
    </r>
    <r>
      <rPr>
        <sz val="11"/>
        <color rgb="FF9C6500"/>
        <rFont val="맑은 고딕"/>
        <family val="2"/>
        <charset val="129"/>
        <scheme val="minor"/>
      </rPr>
      <t xml:space="preserve">
-  관련 실시간 통계정보 포털서비스로 가시화 제공중</t>
    </r>
    <phoneticPr fontId="2" type="noConversion"/>
  </si>
  <si>
    <r>
      <rPr>
        <sz val="11"/>
        <color rgb="FFFF0000"/>
        <rFont val="맑은 고딕"/>
        <family val="3"/>
        <charset val="129"/>
        <scheme val="minor"/>
      </rPr>
      <t>- 관련 통계데이터 미확인</t>
    </r>
    <r>
      <rPr>
        <sz val="11"/>
        <color rgb="FF9C6500"/>
        <rFont val="맑은 고딕"/>
        <family val="2"/>
        <charset val="129"/>
        <scheme val="minor"/>
      </rPr>
      <t xml:space="preserve">
- 참고(코로나19 응급이송체계 변화) : https://www.ggpi.or.kr/images/issue/issue21.pdf</t>
    </r>
    <phoneticPr fontId="2" type="noConversion"/>
  </si>
  <si>
    <r>
      <rPr>
        <sz val="11"/>
        <color rgb="FFFF0000"/>
        <rFont val="맑은 고딕"/>
        <family val="3"/>
        <charset val="129"/>
        <scheme val="minor"/>
      </rPr>
      <t>- 감염병 관련 통계데이터 미확인됨</t>
    </r>
    <r>
      <rPr>
        <sz val="11"/>
        <color rgb="FF9C6500"/>
        <rFont val="맑은 고딕"/>
        <family val="2"/>
        <charset val="129"/>
        <scheme val="minor"/>
      </rPr>
      <t xml:space="preserve">
- 참고(코로나 시기 소방119 이송시간 분석) : https://www.nfa.go.kr/nfa/news/pressrelease/press/?boardId=bbs_0000000000000010&amp;mode=view&amp;cntId=1744&amp;category=&amp;pageIdx=)
</t>
    </r>
    <phoneticPr fontId="2" type="noConversion"/>
  </si>
  <si>
    <t>제시한 링크상에는 1~3급 감염병만 포함하여(신종, 동물) 과제가 타겟팅하는 일반적인 (계절성) 인플루엔자 데이터 포함하고 있지 않은 것 같으므로 확인이 필요하고, 해당 데이터 수집가능한 다른 루트 조사 필요함.
KDCA에서는 인플루엔자 통계데이터 확인되지 않아서 WHO FluNet 참고하는 것 제안</t>
    <phoneticPr fontId="2" type="noConversion"/>
  </si>
  <si>
    <t>*미확인 부분의 정의 및 그에 대한 대안책 제시가 전체적으로 필요함
*데이터소스 탭에 있는 정보 이 탭에 통합하여 보는 것이 필요(제공방식,주기 등)</t>
    <phoneticPr fontId="2" type="noConversion"/>
  </si>
  <si>
    <t xml:space="preserve"> (J5내용  참고) 코로나/인플루엔자 등 과제가 타겟팅하는 감염병 데이터 적재되어 있는지</t>
    <phoneticPr fontId="2" type="noConversion"/>
  </si>
  <si>
    <r>
      <rPr>
        <sz val="11"/>
        <color rgb="FFFF0000"/>
        <rFont val="맑은 고딕"/>
        <family val="3"/>
        <charset val="129"/>
        <scheme val="minor"/>
      </rPr>
      <t>- 구조화된 개방 데이터 미확인</t>
    </r>
    <r>
      <rPr>
        <sz val="11"/>
        <color theme="1"/>
        <rFont val="맑은 고딕"/>
        <family val="2"/>
        <charset val="129"/>
        <scheme val="minor"/>
      </rPr>
      <t xml:space="preserve">
- 참고) 질병관리청 예방접종 효과 평가: https://www.phwr.org/journal/view.html?pn=search&amp;uid=192&amp;vmd=Full</t>
    </r>
    <phoneticPr fontId="2" type="noConversion"/>
  </si>
  <si>
    <t>사망률 통계데이터 필수이므로 확보 방안 검토 요청</t>
    <phoneticPr fontId="2" type="noConversion"/>
  </si>
  <si>
    <t>필수 데이터이므로 데이터 얻을 수 있는 대안책 추가 제시 혹은 WHO FluNet 활용 방안 검토 요청</t>
    <phoneticPr fontId="2" type="noConversion"/>
  </si>
  <si>
    <t>초록색으로 수정 필요 / 필수데이터
치료제 정보 데이터셋 구성 필수
기저질환여부 또한 중증도 모델에서 활용되므로 빈도 높은 기저질환에 관련된 의약품 정보 또한 확보하는 것 필요해보임 - 의약품 정보 라이브러리 구성 규모 논의 필요</t>
    <phoneticPr fontId="2" type="noConversion"/>
  </si>
  <si>
    <t>필수데이터이므로 가져올 수 있는 방안 검토 요청 (PDF의 경우 추출)</t>
    <phoneticPr fontId="2" type="noConversion"/>
  </si>
  <si>
    <t>초록색으로 수정 필요
필수데이터이므로 가져올 수 있는 방안 검토 요청
Google Trend 등 소셜미디어 API 활용방안 검토 요청</t>
    <phoneticPr fontId="2" type="noConversion"/>
  </si>
  <si>
    <t>초록색으로 수정 필요
필수데이터이므로 추가 확보할 수 있는 방안 검토 요청
오픈데이터 미확인 의미?
코로나 통계현황(xlsx)로 제공한다고 명시 -&gt; 오픈데이터 미확인의 의미</t>
    <phoneticPr fontId="2" type="noConversion"/>
  </si>
  <si>
    <t>초록색 수정
필수데이터이므로 확보할 수 있는 방안 검토 요청</t>
    <phoneticPr fontId="2" type="noConversion"/>
  </si>
  <si>
    <t>DS-0101</t>
    <phoneticPr fontId="2" type="noConversion"/>
  </si>
  <si>
    <t>DS-0301</t>
    <phoneticPr fontId="2" type="noConversion"/>
  </si>
  <si>
    <t>DS-0401</t>
    <phoneticPr fontId="2" type="noConversion"/>
  </si>
  <si>
    <t>DS-0402</t>
  </si>
  <si>
    <t>DS-0501</t>
    <phoneticPr fontId="2" type="noConversion"/>
  </si>
  <si>
    <t>DS-0502</t>
  </si>
  <si>
    <t>DS-0503</t>
  </si>
  <si>
    <t>DS-0504</t>
  </si>
  <si>
    <t>DS-0505</t>
  </si>
  <si>
    <t>DS-0601</t>
    <phoneticPr fontId="2" type="noConversion"/>
  </si>
  <si>
    <t>DS-0701</t>
    <phoneticPr fontId="2" type="noConversion"/>
  </si>
  <si>
    <t>DS-0801</t>
    <phoneticPr fontId="2" type="noConversion"/>
  </si>
  <si>
    <t>DS-0901</t>
    <phoneticPr fontId="2" type="noConversion"/>
  </si>
  <si>
    <t>DS-1001</t>
  </si>
  <si>
    <t>DS-1001</t>
    <phoneticPr fontId="2" type="noConversion"/>
  </si>
  <si>
    <t>DS-1101</t>
    <phoneticPr fontId="2" type="noConversion"/>
  </si>
  <si>
    <t>제공기관명</t>
    <phoneticPr fontId="2" type="noConversion"/>
  </si>
  <si>
    <t>데이터 소스ID</t>
    <phoneticPr fontId="2" type="noConversion"/>
  </si>
  <si>
    <t>제공기관명</t>
    <phoneticPr fontId="2" type="noConversion"/>
  </si>
  <si>
    <t>서비스명</t>
    <phoneticPr fontId="2" type="noConversion"/>
  </si>
  <si>
    <t>서비스URL</t>
    <phoneticPr fontId="2" type="noConversion"/>
  </si>
  <si>
    <t>제공방식</t>
    <phoneticPr fontId="2" type="noConversion"/>
  </si>
  <si>
    <t>제공주기</t>
    <phoneticPr fontId="2" type="noConversion"/>
  </si>
  <si>
    <t>DS-0101</t>
    <phoneticPr fontId="2" type="noConversion"/>
  </si>
  <si>
    <t>DS-0102</t>
    <phoneticPr fontId="2" type="noConversion"/>
  </si>
  <si>
    <t>DS-0201</t>
    <phoneticPr fontId="2" type="noConversion"/>
  </si>
  <si>
    <t>DS-0202</t>
    <phoneticPr fontId="2" type="noConversion"/>
  </si>
  <si>
    <t>아이브랩 의견</t>
    <phoneticPr fontId="2" type="noConversion"/>
  </si>
  <si>
    <t>* 데이터 소스 식별 및 제공소스 확인은 본과제전체적으로 함께 공유/협력할 사항으로 봄
- 기능개발을 위해서는 synthetic data 생성하여 활용은 가능
- 그외에는 실제 제공되고 있거나, 존재가 확인될 필요가 있음
* 데이터셋ID를 통해 데이터소스시트값 참조하도록 통합처리함</t>
    <phoneticPr fontId="2" type="noConversion"/>
  </si>
  <si>
    <t>안내요망</t>
    <phoneticPr fontId="2" type="noConversion"/>
  </si>
  <si>
    <t>- 표본감시감염병 부분에 '인플루엔자' 통계치가 해당하는지 검토 요망
-  WHO FlueNet의 수집/적재는 가능하나, 활용대상인지 여부 확정 요망</t>
    <phoneticPr fontId="2" type="noConversion"/>
  </si>
  <si>
    <t>- 갱신주기가 빈번하지 않과 데이터 양이 많이 않은 데이터를 자동처리하는것은 비효율적이므로, 참고가 필요한 데이터의 경우 데이터 입력페이지 구성을 통해 제공 고려 필요</t>
    <phoneticPr fontId="2" type="noConversion"/>
  </si>
  <si>
    <t>- 참조성 데이터로 자동처리보다는 정책데이터를 구조화하고 해당 데이터를 입력/관리 할수 있는 페이지 구성이 적합하다고 판단됨</t>
    <phoneticPr fontId="2" type="noConversion"/>
  </si>
  <si>
    <t>- 참조성 데이터로 자동처리보다는 정책/대응조치 데이터를 구조화하고 해당 데이터를 입력/관리 할수 있는 페이지 구성이 적합하다고 판단됨</t>
    <phoneticPr fontId="2" type="noConversion"/>
  </si>
  <si>
    <r>
      <rPr>
        <sz val="11"/>
        <color rgb="FF006100"/>
        <rFont val="맑은 고딕"/>
        <family val="3"/>
        <charset val="129"/>
        <scheme val="minor"/>
      </rPr>
      <t>- 참고) 질병관리청 _코로나19 예방접종 통계 현황: https://www.data.go.kr/data/15131145/fileData.do?recommendDataYn=Y
- 전국 시도별 , 일자별 코로나19 예방접종 1차,2차,3차 접종률 제공</t>
    </r>
    <phoneticPr fontId="2" type="noConversion"/>
  </si>
  <si>
    <t>- 초록색으로 수정함
- 추가 데이터 소스는 확인 필요</t>
    <phoneticPr fontId="2" type="noConversion"/>
  </si>
  <si>
    <t>R38</t>
  </si>
  <si>
    <t>온습도, PM2.5, CO2</t>
    <phoneticPr fontId="2" type="noConversion"/>
  </si>
  <si>
    <t>인플루엔자 관련 검색 트렌드</t>
    <phoneticPr fontId="2" type="noConversion"/>
  </si>
  <si>
    <t>환경 데이터</t>
  </si>
  <si>
    <t>- 감염병 포털에 감염병별 사망자수는 확인됨
- 코로나의 경우는 감염병 포털에서 별도 파일(xls)로 제공중임을 확인함
- 사망률 관련해서는 처리 하거나, 별도의 관련 데이터 소스 확인 필요</t>
    <phoneticPr fontId="2" type="noConversion"/>
  </si>
  <si>
    <t>- 인플루엔자의 경우 표본감시감염병에 연령대별로는 제공하고 있음
- 코로나의 경우는 감염병 포털에서 별도 파일(xls)로 제공중임을 확인함</t>
    <phoneticPr fontId="2" type="noConversion"/>
  </si>
  <si>
    <t>- 에어코리아 제공데이터는 공공데이터 포털을 통해 서비스중이라 수집 처리 가능함
- 수집대상 범위가 방대해 주기적 모든데이터를 수집/중복 저장하는 문제는 협의 필요(공공데이터 포털도 운영계정의 일별 제약은 있음)
- 통상 서비스에서는 필요시점의 필요지역데이터를 수집하는 방식임</t>
    <phoneticPr fontId="2" type="noConversion"/>
  </si>
  <si>
    <t>*구글트렌드뿐 아니라 트위터, 네이버 등 타 요소 활용도 검토 요청</t>
    <phoneticPr fontId="2" type="noConversion"/>
  </si>
  <si>
    <t>- 추가 검토중(네이버)</t>
    <phoneticPr fontId="2" type="noConversion"/>
  </si>
  <si>
    <t>이동패턴</t>
    <phoneticPr fontId="2" type="noConversion"/>
  </si>
  <si>
    <t xml:space="preserve"> 불가함</t>
    <phoneticPr fontId="2" type="noConversion"/>
  </si>
  <si>
    <t>'- 제공되거나 알려진 데이터소스 찾는 방안외에 별도 대안책은 없음
 -  WHO FlueNet의 수집/적재는 가능하나, 활용대상인지 여부 확정 요망</t>
    <phoneticPr fontId="2" type="noConversion"/>
  </si>
  <si>
    <t>- 분석 및 데이터 모델링을 위해 EMR 데이터 샘플등의 자료 제공 필요</t>
    <phoneticPr fontId="2" type="noConversion"/>
  </si>
  <si>
    <t>- 다양한 데이터 출처 및 형식으로 존재하므로, 자동처리에 제약이 크고 비효율적임
- 필요 데이터셋에 대한 요구사항 기반 모델링후 후처리하여 데이터 입력/관리하는 페이지 구성하는 것이 필요함</t>
    <phoneticPr fontId="2" type="noConversion"/>
  </si>
  <si>
    <t>- 확인중</t>
    <phoneticPr fontId="2" type="noConversion"/>
  </si>
  <si>
    <t>- 판단에 한계가 있으므로, 함꼐 확인 요망</t>
    <phoneticPr fontId="2" type="noConversion"/>
  </si>
  <si>
    <t>아이브랩 의견</t>
    <phoneticPr fontId="2" type="noConversion"/>
  </si>
  <si>
    <t>-https://www.nmc.or.kr/nmc/contents/emergency_synthesis_sign 페이지를 통해 제공중이므로 접근 경로가 비정상적이지는 않다고 판단함</t>
    <phoneticPr fontId="2" type="noConversion"/>
  </si>
  <si>
    <t>별도 데이터 출처 제공 또는 확인 필요</t>
    <phoneticPr fontId="2" type="noConversion"/>
  </si>
  <si>
    <t>필요 데이터</t>
  </si>
  <si>
    <t>데이터 카테고리</t>
  </si>
  <si>
    <t>지역별 감염 발생 현황 (월별)</t>
    <phoneticPr fontId="2" type="noConversion"/>
  </si>
  <si>
    <t>연령대별, 성별 감염률</t>
  </si>
  <si>
    <t>감염병 연령·성별별 발생현황</t>
    <phoneticPr fontId="2" type="noConversion"/>
  </si>
  <si>
    <t>백신 접종률 (지역별, 연령별)</t>
  </si>
  <si>
    <t>예방접종 데이터</t>
  </si>
  <si>
    <t>예방접종 통계</t>
    <phoneticPr fontId="2" type="noConversion"/>
  </si>
  <si>
    <t>진료 데이터</t>
  </si>
  <si>
    <t xml:space="preserve">인플루엔자 의사환자 비율 </t>
    <phoneticPr fontId="2" type="noConversion"/>
  </si>
  <si>
    <t>중증도 데이터</t>
  </si>
  <si>
    <t>인플루엔자 사망자 및 합병증 통계</t>
    <phoneticPr fontId="2" type="noConversion"/>
  </si>
  <si>
    <t>신규 바이러스 발생 여부 (유형별, 변종별 감염률)</t>
  </si>
  <si>
    <t>변이/바이러스 유전자 데이터</t>
  </si>
  <si>
    <t>인플루엔자 바이러스 주별 검출율</t>
    <phoneticPr fontId="2" type="noConversion"/>
  </si>
  <si>
    <t>미세먼지 (PM2.5), 대기오염 (CO, NO2 등)</t>
  </si>
  <si>
    <t xml:space="preserve">대기오염 통계 </t>
    <phoneticPr fontId="2" type="noConversion"/>
  </si>
  <si>
    <t>검색 트렌드 (인플루엔자 키워드 트렌드)</t>
  </si>
  <si>
    <t>사회행동 데이터</t>
  </si>
  <si>
    <t>네이버 데이터랩, 구글 트렌드</t>
  </si>
  <si>
    <t>인구 밀도 (지역별)</t>
  </si>
  <si>
    <t>인구학적 데이터</t>
  </si>
  <si>
    <t>주민등록 인구통계, 통계청 KOSIS</t>
    <phoneticPr fontId="2" type="noConversion"/>
  </si>
  <si>
    <t>감염재생산지수 (Rt)</t>
  </si>
  <si>
    <t>감염재생산지수 주간보고서</t>
    <phoneticPr fontId="2" type="noConversion"/>
  </si>
  <si>
    <t>계절성 지표</t>
  </si>
  <si>
    <t>초록색: 아이브랩에서 현재 확보한 데이터 소스 
노란색: 아이브랩 측에서 해당 요구사항에 완전히 부합된다고 평가
흰색: 현재 확보되지 않은 데이터</t>
    <phoneticPr fontId="2" type="noConversion"/>
  </si>
  <si>
    <t>주기</t>
    <phoneticPr fontId="2" type="noConversion"/>
  </si>
  <si>
    <t>api 제공여부</t>
    <phoneticPr fontId="2" type="noConversion"/>
  </si>
  <si>
    <t>데이터 제공 방식</t>
    <phoneticPr fontId="2" type="noConversion"/>
  </si>
  <si>
    <t>링크</t>
    <phoneticPr fontId="2" type="noConversion"/>
  </si>
  <si>
    <t>데이터 특징</t>
    <phoneticPr fontId="2" type="noConversion"/>
  </si>
  <si>
    <t>실시간 접근</t>
    <phoneticPr fontId="2" type="noConversion"/>
  </si>
  <si>
    <t>일주일</t>
    <phoneticPr fontId="2" type="noConversion"/>
  </si>
  <si>
    <t>X</t>
    <phoneticPr fontId="2" type="noConversion"/>
  </si>
  <si>
    <t>csv 파일</t>
    <phoneticPr fontId="2" type="noConversion"/>
  </si>
  <si>
    <t xml:space="preserve"> - 해당 사이트에서 얻을 수 있는 정보
  1. 기간에 따른 감염자 현황
  2. 기간 + 연령별 감염자 현황
  3. 데이터 프레임 단위 : 일주일
 - 일별 데이터의 경우 who flunet 데이터를 활용해야함.  but, 해당 데이터에는 검체 수 , 확진자 수 등의 데이터만 존재하며 연령 , 성별 등의 컬럼은 존재 X</t>
    <phoneticPr fontId="2" type="noConversion"/>
  </si>
  <si>
    <t>O</t>
    <phoneticPr fontId="2" type="noConversion"/>
  </si>
  <si>
    <t>월별</t>
    <phoneticPr fontId="2" type="noConversion"/>
  </si>
  <si>
    <t>데이터 업데이트 주기는 주별로 진행
따라서 월별 데이터는 실시간으로 업데이트 가능</t>
    <phoneticPr fontId="2" type="noConversion"/>
  </si>
  <si>
    <t>주별</t>
    <phoneticPr fontId="2" type="noConversion"/>
  </si>
  <si>
    <t xml:space="preserve"> </t>
    <phoneticPr fontId="2" type="noConversion"/>
  </si>
  <si>
    <t>API</t>
    <phoneticPr fontId="2" type="noConversion"/>
  </si>
  <si>
    <t xml:space="preserve"> 1. 지역별 데이터 제공
  2. 성별 별 데이터 제공</t>
    <phoneticPr fontId="2" type="noConversion"/>
  </si>
  <si>
    <t xml:space="preserve"> - 데이터 특징
  1. 지역별 데이터 제공
  2. 단순 인플루엔자 뿐 아니라 동물 매개 인플루엔자 , 바이러스가 확인되지 않은 인플루엔자 , 기타 증상을 동반한 인플루엔자 등 인플루엔자 관련 질환을 전부 질병 코드를 통해 확인 가능 3. 주기는 매월 집계됨. 단, 조회 시 최근 8개월전 데이터까지 조회 가능</t>
    <phoneticPr fontId="2" type="noConversion"/>
  </si>
  <si>
    <t>국가기후데이터센터, 공공데이터포털 기상통계</t>
    <phoneticPr fontId="2" type="noConversion"/>
  </si>
  <si>
    <t>API를 통한 JSON 방식</t>
  </si>
  <si>
    <t xml:space="preserve"> - 데이터 특징
  1. 지역별 기온 , 온도 , 습도 , 강수량 등의 데이터 확보 가능
  2. 데이터 프레임 단위 : 시간</t>
    <phoneticPr fontId="2" type="noConversion"/>
  </si>
  <si>
    <t xml:space="preserve"> - 데이터 특징
  1. 지역별 시간별 데이터 제공
  2. PM10 , PM2.5 , O3 , NO2 , CO 등 요소별 데이터 제공</t>
    <phoneticPr fontId="2" type="noConversion"/>
  </si>
  <si>
    <t>주별/월별</t>
    <phoneticPr fontId="2" type="noConversion"/>
  </si>
  <si>
    <t xml:space="preserve"> - 데이터 특징
  1. 지역별로 제공
  2. 연도별 제공도 가능</t>
    <phoneticPr fontId="2" type="noConversion"/>
  </si>
  <si>
    <t>https://www.data.go.kr/data/15012690/openapi.do</t>
    <phoneticPr fontId="2" type="noConversion"/>
  </si>
  <si>
    <t>해열제, 종합감기약 등 약품 사용률</t>
    <phoneticPr fontId="2" type="noConversion"/>
  </si>
  <si>
    <t>공공데이터포털</t>
    <phoneticPr fontId="2" type="noConversion"/>
  </si>
  <si>
    <t>https://www.data.go.kr/data/15047819/openapi.do?utm_source=chatgpt.com#tab_layer_prcuse_exam</t>
    <phoneticPr fontId="2" type="noConversion"/>
  </si>
  <si>
    <t>약효분류군 / ATC코드별 / 성분별의 지역별 / 의료기관 종별 / 상병별 사용량 조회 가능</t>
    <phoneticPr fontId="2" type="noConversion"/>
  </si>
  <si>
    <t>인플루엔자 의사환자 발생현황</t>
    <phoneticPr fontId="2" type="noConversion"/>
  </si>
  <si>
    <t>질병 관리청</t>
    <phoneticPr fontId="2" type="noConversion"/>
  </si>
  <si>
    <t>pdf</t>
    <phoneticPr fontId="2" type="noConversion"/>
  </si>
  <si>
    <t>python을 통해 텍스트 추출 후 수집 해야 함.</t>
    <phoneticPr fontId="2" type="noConversion"/>
  </si>
  <si>
    <t>비고</t>
    <phoneticPr fontId="2" type="noConversion"/>
  </si>
  <si>
    <t>인플루엔자 중심
- 계절성 인플루엔자(현재는 없음)
- 병원방문 대비 의사/환자 분율
- 주별데이터로 수집처리후/
- 특정 지역데이터는 data.go.kr에 있음
- kcda는 불가, data.go.kr/who 활용가능성 확인(전북대)</t>
    <phoneticPr fontId="2" type="noConversion"/>
  </si>
  <si>
    <t>- 예측 주기는 : 
- 1일, 3일, 7일(장기예측)</t>
    <phoneticPr fontId="2" type="noConversion"/>
  </si>
  <si>
    <t xml:space="preserve"> 해당 지역 수준 통계데이터
- 정책/참고데이터는 관리가 필요</t>
    <phoneticPr fontId="2" type="noConversion"/>
  </si>
  <si>
    <t>data.go.kr 수준 확인</t>
    <phoneticPr fontId="2" type="noConversion"/>
  </si>
  <si>
    <t>- 관련 보고서 존재여부</t>
    <phoneticPr fontId="2" type="noConversion"/>
  </si>
  <si>
    <t>- Inf-&gt; 변종
- Who Flunet… 활용 필요</t>
    <phoneticPr fontId="2" type="noConversion"/>
  </si>
  <si>
    <t>기상 데이터</t>
    <phoneticPr fontId="2" type="noConversion"/>
  </si>
  <si>
    <t>온도, 습도, 기후 지수</t>
    <phoneticPr fontId="2" type="noConversion"/>
  </si>
  <si>
    <t>필요 시간 범위 확인요
- 동수준 1회 요청 회수,1일</t>
    <phoneticPr fontId="2" type="noConversion"/>
  </si>
  <si>
    <t>- 입력/관리</t>
    <phoneticPr fontId="2" type="noConversion"/>
  </si>
  <si>
    <t>-발열/인후통 등…
- 입력/관리 필요</t>
    <phoneticPr fontId="2" type="noConversion"/>
  </si>
  <si>
    <t>아이브랩 검토의견</t>
    <phoneticPr fontId="2" type="noConversion"/>
  </si>
  <si>
    <t>https://dportal.kdca.go.kr/pot/is/st/influ.do</t>
    <phoneticPr fontId="2" type="noConversion"/>
  </si>
  <si>
    <t>- kdca(감염병포털)에서는 주간 전국 인플루엔자 의사환자분율(0.1% 단위)만을 제공, 따라서 정확한 환자수를 알려면 주간 외래환자 수를 알아야 역산이 가능
- 그러나 hira, kosis에선 연간 외래환자 수만 제공되므로, 주간 인플루엔자 환자수는 얻을 수 없음
- who flunet의 경우 전수조사가 아닌 표본검체 중 종류별 인플루엔자 바이러스 검출 건수이므로 이 또한 비율적인 수치이지, 정확한 수치는 아님.</t>
    <phoneticPr fontId="2" type="noConversion"/>
  </si>
  <si>
    <t>- https://www.data.go.kr/data/15089429/fileData.do
- 국민건강보험공단_감염성질환(인플루엔자) 의료이용정보에 시도별, 일간 인플루엔자 외래환자 수 및 입원환자 수 데이터 제공
- 매년 8월~9월 경에 작년 데이터를 업로드</t>
    <phoneticPr fontId="2" type="noConversion"/>
  </si>
  <si>
    <t>- kdca(감염병포털)의 경우 성별 구별 X, 0세/1~6세/7~12세/13~18세/19~49세/50~64세/65세 이상으로 구별
- 국민건강보험공단 데이터는 성별 구별 O, 0~5세/6~11세/12세~17세/18~44세/45~64세/65세 이상으로 구별</t>
    <phoneticPr fontId="2" type="noConversion"/>
  </si>
  <si>
    <t>- 질병관리청_인플루엔자 시군구별 국가예방접종 현황의 경우 국가지원 백신접종(어린이, 임산부, 65세 이상)대상에 대한 시군구, 성별 단위 연간 수치 제공
- https://gsis.kwdi.re.kr/statHtml/statHtml.do?orgId=338&amp;tblId=DT_GIABRM16_020 의 경우 성별, 연령 구별 없이 시군구별에 대한 표본조사로 접종 비율 제공</t>
    <phoneticPr fontId="2" type="noConversion"/>
  </si>
  <si>
    <t>- 인플루엔자관련,  구굴/@네이버/@트위터</t>
    <phoneticPr fontId="2" type="noConversion"/>
  </si>
  <si>
    <t>- 트위터의 경우 지나간 데이터는 수집 불가, 실시간 트렌드(키워드 30건, 정확한 트윗 수치 제공)만 확인 가능
- 구글, 네이버 경우 관심도 최대치일 때 100을 기준으로, 퍼센트 단위로 확인 가능
- 구글의 경우 1분(범위 1시간, 4시간), 8분(범위 1일), 1시간(범위 7일), 1일(범위 90일), 주간(범위 5년), 월간(그 이상 범위)로 수집 가능
- 네이버의 경우 관심도 최대치일 때 100을 기준으로, 일 단위 퍼센트 단위로 확인 가능</t>
    <phoneticPr fontId="2" type="noConversion"/>
  </si>
  <si>
    <t>https://www.data.go.kr/data/15057210/openapi.do</t>
    <phoneticPr fontId="2" type="noConversion"/>
  </si>
  <si>
    <t>https://www.data.go.kr/data/15073861/openapi.do</t>
    <phoneticPr fontId="2" type="noConversion"/>
  </si>
  <si>
    <t>시도</t>
    <phoneticPr fontId="2" type="noConversion"/>
  </si>
  <si>
    <t>Station수</t>
    <phoneticPr fontId="2" type="noConversion"/>
  </si>
  <si>
    <t>서울</t>
    <phoneticPr fontId="2" type="noConversion"/>
  </si>
  <si>
    <t>경기</t>
    <phoneticPr fontId="2" type="noConversion"/>
  </si>
  <si>
    <t>인천</t>
    <phoneticPr fontId="2" type="noConversion"/>
  </si>
  <si>
    <t>강원</t>
    <phoneticPr fontId="2" type="noConversion"/>
  </si>
  <si>
    <t>충북</t>
    <phoneticPr fontId="2" type="noConversion"/>
  </si>
  <si>
    <t>충남</t>
    <phoneticPr fontId="2" type="noConversion"/>
  </si>
  <si>
    <t>대전</t>
    <phoneticPr fontId="2" type="noConversion"/>
  </si>
  <si>
    <t>세종</t>
    <phoneticPr fontId="2" type="noConversion"/>
  </si>
  <si>
    <t>경북</t>
    <phoneticPr fontId="2" type="noConversion"/>
  </si>
  <si>
    <t>경남</t>
    <phoneticPr fontId="2" type="noConversion"/>
  </si>
  <si>
    <t>전북</t>
    <phoneticPr fontId="2" type="noConversion"/>
  </si>
  <si>
    <t>전남</t>
    <phoneticPr fontId="2" type="noConversion"/>
  </si>
  <si>
    <t>광주</t>
    <phoneticPr fontId="2" type="noConversion"/>
  </si>
  <si>
    <t>대구</t>
    <phoneticPr fontId="2" type="noConversion"/>
  </si>
  <si>
    <t>울산</t>
    <phoneticPr fontId="2" type="noConversion"/>
  </si>
  <si>
    <t>부산</t>
    <phoneticPr fontId="2" type="noConversion"/>
  </si>
  <si>
    <t>제주</t>
    <phoneticPr fontId="2" type="noConversion"/>
  </si>
  <si>
    <t>합계</t>
    <phoneticPr fontId="2" type="noConversion"/>
  </si>
  <si>
    <t xml:space="preserve">환경공단 측정소 </t>
    <phoneticPr fontId="2" type="noConversion"/>
  </si>
  <si>
    <t>환경공단 시도구분</t>
    <phoneticPr fontId="2" type="noConversion"/>
  </si>
  <si>
    <t>- 측정소 실시간 대기오염정보(668개 측정소로, 동수준은 아님)/조회시간 이전 24시간 이력데이터
- 시도별 실시간 대기오염정보(17개 시도)의 최근 시간별 측정소 실시간 데이터==&gt; 이 API로 처리가 적합하나, 동수준은 아닌점을 고려 필요</t>
    <phoneticPr fontId="2" type="noConversion"/>
  </si>
  <si>
    <t>-  295개 지점데이터(시,군)로 동수준데이터는 아님</t>
    <phoneticPr fontId="2" type="noConversion"/>
  </si>
  <si>
    <t>https://opendata.hira.or.kr/op/opc/olap4thDsInfoTab1.do</t>
    <phoneticPr fontId="2" type="noConversion"/>
  </si>
  <si>
    <t>- 진료년월, 보험자 구분, 조제처방구분, 시도/시군구코드를 
통해 ATC 코드별 지역별 사용량 목록 수집 가능</t>
    <phoneticPr fontId="2" type="noConversion"/>
  </si>
  <si>
    <t>- 인플루엔자 감염재생산지수 데이터 미확인</t>
    <phoneticPr fontId="2" type="noConversion"/>
  </si>
  <si>
    <t>- 시도,시군구,읍면동 단위 총 인구수 수집 가능</t>
    <phoneticPr fontId="2" type="noConversion"/>
  </si>
  <si>
    <t>- 일부 논문 Flu 추정사망자 자료(국내 인플루엔자 사망관련 연구 동향, 박충민 외, 2021)</t>
    <phoneticPr fontId="2" type="noConversion"/>
  </si>
  <si>
    <t>- 감염병포털(kdca)에 의사환자 비율정보 제공 확인</t>
    <phoneticPr fontId="2" type="noConversion"/>
  </si>
  <si>
    <t>- 연, 월별로 국경일, 공휴일 정보 수집 가능</t>
    <phoneticPr fontId="2" type="noConversion"/>
  </si>
  <si>
    <t>성별 및 연령별 인구와 인구밀도</t>
    <phoneticPr fontId="2" type="noConversion"/>
  </si>
  <si>
    <t>병원 방문 환자 수 (인플루엔자 의사환자 비율 포함)</t>
    <phoneticPr fontId="2" type="noConversion"/>
  </si>
  <si>
    <t>CSV</t>
    <phoneticPr fontId="2" type="noConversion"/>
  </si>
  <si>
    <t>보건의료빅데이터개방시스템</t>
  </si>
  <si>
    <t>질병관리청 감염병 포털</t>
  </si>
  <si>
    <t>공공데이터 포털</t>
    <phoneticPr fontId="20" type="noConversion"/>
  </si>
  <si>
    <t>REST</t>
    <phoneticPr fontId="2" type="noConversion"/>
  </si>
  <si>
    <t>WEB</t>
    <phoneticPr fontId="2" type="noConversion"/>
  </si>
  <si>
    <t>국가통계포털</t>
    <phoneticPr fontId="2" type="noConversion"/>
  </si>
  <si>
    <t>http://kosis.kr/openapi/Param/statisticsParameterData.do?method=getList&amp;itmId=00+&amp;objL1=ALL&amp;objL2=ALL&amp;objL3=&amp;objL4=&amp;objL5=&amp;objL6=&amp;objL7=&amp;objL8=&amp;format=json&amp;jsonVD=Y&amp;prdSe=Y&amp;newEstPrdCnt=3&amp;orgId=110&amp;tblId=DT_11001N_2013_A001</t>
    <phoneticPr fontId="2" type="noConversion"/>
  </si>
  <si>
    <t>JSON</t>
    <phoneticPr fontId="2" type="noConversion"/>
  </si>
  <si>
    <t>1년</t>
    <phoneticPr fontId="2" type="noConversion"/>
  </si>
  <si>
    <t xml:space="preserve">대기오염 통계 </t>
  </si>
  <si>
    <t>서비스URL</t>
    <phoneticPr fontId="2" type="noConversion"/>
  </si>
  <si>
    <t>서비스 요청 URL</t>
    <phoneticPr fontId="2" type="noConversion"/>
  </si>
  <si>
    <t>한국천문연구원 달력, 공공데이터포털</t>
    <phoneticPr fontId="2" type="noConversion"/>
  </si>
  <si>
    <t>인플루엔자 발생 시 국경일/연휴 여+B15:O15부</t>
    <phoneticPr fontId="2" type="noConversion"/>
  </si>
  <si>
    <t>https://sgis.kostat.go.kr/developer/html/newOpenApi/api/dataApi/census.html</t>
    <phoneticPr fontId="2" type="noConversion"/>
  </si>
  <si>
    <t>수집데이터형식</t>
    <phoneticPr fontId="2" type="noConversion"/>
  </si>
  <si>
    <t>통계지리정보서비스</t>
    <phoneticPr fontId="2" type="noConversion"/>
  </si>
  <si>
    <t>전국 지역별 인구밀도</t>
    <phoneticPr fontId="2" type="noConversion"/>
  </si>
  <si>
    <t>https://sgis.kostat.go.kr/developer/html/newOpenApi/api/dataApi/census.html#searchPopulation</t>
    <phoneticPr fontId="2" type="noConversion"/>
  </si>
  <si>
    <t>https://sgisapi.kostat.go.kr/OpenAPI3/stats/population.json</t>
    <phoneticPr fontId="2" type="noConversion"/>
  </si>
  <si>
    <t>http://apis.data.go.kr/B552657/ErmctInfoInqireService/getEmrrmRltmUsefulSckbdInfoInqire</t>
    <phoneticPr fontId="2" type="noConversion"/>
  </si>
  <si>
    <t>https://www.data.go.kr/data/15089429/fileData.do</t>
    <phoneticPr fontId="2" type="noConversion"/>
  </si>
  <si>
    <t>http://apis.data.go.kr/B552584/ArpltnInforInqireSvc/getCtprvnRltmMesureDnsty</t>
    <phoneticPr fontId="2" type="noConversion"/>
  </si>
  <si>
    <t>http://apis.data.go.kr/B090041/openapi/service/SpcdeInfoService/getRestDeInfo</t>
    <phoneticPr fontId="2" type="noConversion"/>
  </si>
  <si>
    <t>1시간</t>
    <phoneticPr fontId="2" type="noConversion"/>
  </si>
  <si>
    <t>7일</t>
    <phoneticPr fontId="2" type="noConversion"/>
  </si>
  <si>
    <t>3개월</t>
    <phoneticPr fontId="2" type="noConversion"/>
  </si>
  <si>
    <t>지점별 종관기상관측(ASOS) 시간자료 데이터</t>
  </si>
  <si>
    <t xml:space="preserve"> http://apis.data.go.kr/1360000/AsosHourlyInfoService/getWthrDataList</t>
    <phoneticPr fontId="20" type="noConversion"/>
  </si>
  <si>
    <t>1일</t>
    <phoneticPr fontId="2" type="noConversion"/>
  </si>
  <si>
    <t>ATC 3단계 코드</t>
  </si>
  <si>
    <t>A01A</t>
  </si>
  <si>
    <t>STOMATOLOGICAL PREPARATIONS</t>
  </si>
  <si>
    <t>A02A</t>
  </si>
  <si>
    <t>ANTACIDS</t>
  </si>
  <si>
    <t>제산제</t>
  </si>
  <si>
    <t>A02B</t>
  </si>
  <si>
    <t>DRUGS FOR PEPTIC ULCER AND GASTRO-OESOPHAGEAL REFLUX DISEASE (GORD)</t>
  </si>
  <si>
    <t>A03A</t>
  </si>
  <si>
    <t>DRUGS FOR FUNCTIONAL GASTROINTESTINAL DISORDERS</t>
  </si>
  <si>
    <t>기능성 위장관 질환 치료제</t>
  </si>
  <si>
    <t>A03B</t>
  </si>
  <si>
    <t>BELLADONNA AND DERIVATIVES, PLAIN</t>
  </si>
  <si>
    <t>A03C</t>
  </si>
  <si>
    <t>ANTISPASMODICS IN COMBINATION WITH PSYCHOLEPTICS</t>
  </si>
  <si>
    <t>정신안정제와 결합된 항경련제</t>
  </si>
  <si>
    <t>A03D</t>
  </si>
  <si>
    <t>ANTISPASMODICS IN COMBINATION WITH ANALGESICS</t>
  </si>
  <si>
    <t>진통제와 결합된 항경련제</t>
  </si>
  <si>
    <t>A04A</t>
  </si>
  <si>
    <t>ANTIEMETICS AND ANTINAUSEANTS</t>
  </si>
  <si>
    <t>구역·구토 억제제</t>
  </si>
  <si>
    <t>A06A</t>
  </si>
  <si>
    <t>DRUGS FOR CONSTIPATION</t>
  </si>
  <si>
    <t>변비약</t>
  </si>
  <si>
    <t>A10A</t>
  </si>
  <si>
    <t>INSULINS AND ANALOGUES</t>
  </si>
  <si>
    <t>인슐린 및 유사체</t>
  </si>
  <si>
    <t>A10B</t>
  </si>
  <si>
    <t>BLOOD GLUCOSE LOWERING DRUGS, EXCL. INSULINS</t>
  </si>
  <si>
    <t>인슐린 제외 혈당강하제</t>
  </si>
  <si>
    <t>N02B</t>
  </si>
  <si>
    <t>OTHER ANALGESICS AND ANTIPYRETICS</t>
  </si>
  <si>
    <t>기타 진통·해열제</t>
  </si>
  <si>
    <t>영문 명칭</t>
  </si>
  <si>
    <t>한국어 명칭</t>
  </si>
  <si>
    <t>구강용 제제 (치과·구강 치료용)</t>
  </si>
  <si>
    <t>소화성 궤양·위식도 역류질환 치료제</t>
  </si>
  <si>
    <t>벨라돈나 및 유도체 단일제</t>
  </si>
  <si>
    <t>A03F</t>
  </si>
  <si>
    <t>PROPULSIVES</t>
  </si>
  <si>
    <t>위장운동 촉진제</t>
  </si>
  <si>
    <t>A05A</t>
  </si>
  <si>
    <t>BILE THERAPY</t>
  </si>
  <si>
    <t>담즙 치료제</t>
  </si>
  <si>
    <t>A05B</t>
  </si>
  <si>
    <t>LIVER THERAPY, LIPOTROPICS</t>
  </si>
  <si>
    <t>간 치료제, 지질 개선제</t>
  </si>
  <si>
    <t>A07A</t>
  </si>
  <si>
    <t>INTESTINAL ANTIINFECTIVES</t>
  </si>
  <si>
    <t>장내 감염 치료제</t>
  </si>
  <si>
    <t>A07B</t>
  </si>
  <si>
    <t>INTESTINAL ADSORBENTS</t>
  </si>
  <si>
    <t>장내 흡착제</t>
  </si>
  <si>
    <t>A07D</t>
  </si>
  <si>
    <t>ANTIPROPULSIVES</t>
  </si>
  <si>
    <t>장 운동 억제제</t>
  </si>
  <si>
    <t>A07E</t>
  </si>
  <si>
    <t>INTESTINAL ANTIINFLAMMATORY AGENTS</t>
  </si>
  <si>
    <t>장염증 치료제</t>
  </si>
  <si>
    <t>A07F</t>
  </si>
  <si>
    <t>ANTIDIARRHEAL MICROORGANISMS</t>
  </si>
  <si>
    <t>설사 억제 미생물제</t>
  </si>
  <si>
    <t>A07X</t>
  </si>
  <si>
    <t>OTHER ANTIDIARRHEALS</t>
  </si>
  <si>
    <t>기타 지사제</t>
  </si>
  <si>
    <t>A08A</t>
  </si>
  <si>
    <t>ANTIOBESITY PREPARATIONS, EXCL. DIET PRODUCTS</t>
  </si>
  <si>
    <t>비만 치료제 (식이요법 제외)</t>
  </si>
  <si>
    <t>A09A</t>
  </si>
  <si>
    <t>DIGESTIVES, INCL. ENZYMES</t>
  </si>
  <si>
    <t>소화제, 효소 포함</t>
  </si>
  <si>
    <t>A10X</t>
  </si>
  <si>
    <t>OTHER DRUGS USED IN DIABETES</t>
  </si>
  <si>
    <t>기타 당뇨 치료제</t>
  </si>
  <si>
    <t>A11A</t>
  </si>
  <si>
    <t>MULTIVITAMINS, COMBINATIONS</t>
  </si>
  <si>
    <t>종합비타민제</t>
  </si>
  <si>
    <t>A11C</t>
  </si>
  <si>
    <t>VITAMIN A AND D, INCL. COMBINATIONS OF THE TWO</t>
  </si>
  <si>
    <t>비타민 A·D (조합 포함)</t>
  </si>
  <si>
    <t>A11D</t>
  </si>
  <si>
    <t>VITAMIN B1, PLAIN AND IN COMBINATION WITH VITAMIN B6 AND B12</t>
  </si>
  <si>
    <t>비타민 B1, 단일제 또는 B6·B12 조합</t>
  </si>
  <si>
    <t>A11G</t>
  </si>
  <si>
    <t>ASCORBIC ACID (VITAMIN C), INCL. COMBINATIONS</t>
  </si>
  <si>
    <t>비타민 C, 조합 포함</t>
  </si>
  <si>
    <t>A11H</t>
  </si>
  <si>
    <t>OTHER PLAIN VITAMIN PREPARATIONS</t>
  </si>
  <si>
    <t>기타 단일 비타민제</t>
  </si>
  <si>
    <t>A12A</t>
  </si>
  <si>
    <t>CALCIUM</t>
  </si>
  <si>
    <t>칼슘제제</t>
  </si>
  <si>
    <t>A12B</t>
  </si>
  <si>
    <t>POTASSIUM</t>
  </si>
  <si>
    <t>칼륨제제</t>
  </si>
  <si>
    <t>A12C</t>
  </si>
  <si>
    <t>OTHER MINERAL SUPPLEMENTS</t>
  </si>
  <si>
    <t>기타 무기질 보충제</t>
  </si>
  <si>
    <t>A14A</t>
  </si>
  <si>
    <t>ANABOLIC STEROIDS</t>
  </si>
  <si>
    <t>동화 스테로이드</t>
  </si>
  <si>
    <t>A16A</t>
  </si>
  <si>
    <t>OTHER ALIMENTARY TRACT AND METABOLISM PRODUCTS</t>
  </si>
  <si>
    <t>기타 소화·대사계 약물</t>
  </si>
  <si>
    <t>B01A</t>
  </si>
  <si>
    <t>ANTITHROMBOTIC AGENTS</t>
  </si>
  <si>
    <t>항혈전제</t>
  </si>
  <si>
    <t>B02A</t>
  </si>
  <si>
    <t>ANTIFIBRINOLYTICS</t>
  </si>
  <si>
    <t>항섬유소용해제</t>
  </si>
  <si>
    <t>B02B</t>
  </si>
  <si>
    <t>VITAMIN K AND OTHER HEMOSTATICS</t>
  </si>
  <si>
    <t>비타민 K 및 기타 지혈제</t>
  </si>
  <si>
    <t>B03A</t>
  </si>
  <si>
    <t>IRON PREPARATIONS</t>
  </si>
  <si>
    <t>철분제</t>
  </si>
  <si>
    <t>B03B</t>
  </si>
  <si>
    <t>VITAMIN B12 AND FOLIC ACID</t>
  </si>
  <si>
    <t>비타민 B12 및 엽산</t>
  </si>
  <si>
    <t>B03X</t>
  </si>
  <si>
    <t>OTHER ANTIANEMIC PREPARATIONS</t>
  </si>
  <si>
    <t>기타 빈혈 치료제</t>
  </si>
  <si>
    <t>B05A</t>
  </si>
  <si>
    <t>BLOOD AND RELATED PRODUCTS</t>
  </si>
  <si>
    <t>혈액 및 관련 제제</t>
  </si>
  <si>
    <t>B05B</t>
  </si>
  <si>
    <t>I.V. SOLUTIONS</t>
  </si>
  <si>
    <t>정맥주사용 용액</t>
  </si>
  <si>
    <t>B05C</t>
  </si>
  <si>
    <t>IRRIGATING SOLUTIONS</t>
  </si>
  <si>
    <t>관장/세척용 용액</t>
  </si>
  <si>
    <t>B05X</t>
  </si>
  <si>
    <t>I.V. SOLUTION ADDITIVES</t>
  </si>
  <si>
    <t>정맥주사용 첨가제</t>
  </si>
  <si>
    <t>B06A</t>
  </si>
  <si>
    <t>OTHER HEMATOLOGICAL AGENTS</t>
  </si>
  <si>
    <t>기타 혈액학적 약물</t>
  </si>
  <si>
    <t>C01A</t>
  </si>
  <si>
    <t>CARDIAC GLYCOSIDES</t>
  </si>
  <si>
    <t>심장글리코사이드</t>
  </si>
  <si>
    <t>C01B</t>
  </si>
  <si>
    <t>ANTIARRHYTHMICS, CLASS I AND III</t>
  </si>
  <si>
    <t>항부정맥제 I·III군</t>
  </si>
  <si>
    <t>C01C</t>
  </si>
  <si>
    <t>CARDIAC STIMULANTS EXCL. CARDIAC GLYCOSIDES</t>
  </si>
  <si>
    <t>심장자극제(글리코사이드 제외)</t>
  </si>
  <si>
    <t>C01D</t>
  </si>
  <si>
    <t>VASODILATORS USED IN CARDIAC DISEASES</t>
  </si>
  <si>
    <t>심혈관용 혈관확장제</t>
  </si>
  <si>
    <t>C01E</t>
  </si>
  <si>
    <t>OTHER CARDIAC PREPARATIONS</t>
  </si>
  <si>
    <t>기타 심장약물</t>
  </si>
  <si>
    <t>C02A</t>
  </si>
  <si>
    <t>ANTIADRENERGIC AGENTS, CENTRALLY ACTING</t>
  </si>
  <si>
    <t>중추작용 항아드레날린제</t>
  </si>
  <si>
    <t>C02B</t>
  </si>
  <si>
    <t>ANTIADRENERGIC AGENTS, GANGLION-BLOCKING</t>
  </si>
  <si>
    <t>신경절 차단 항아드레날린제</t>
  </si>
  <si>
    <t>C02C</t>
  </si>
  <si>
    <t>ANTIADRENERGIC AGENTS, PERIPHERALLY ACTING</t>
  </si>
  <si>
    <t>말초작용 항아드레날린제</t>
  </si>
  <si>
    <t>C02D</t>
  </si>
  <si>
    <t>ARTERIOLAR SMOOTH MUSCLE, AGENTS ACTING ON</t>
  </si>
  <si>
    <t>세동맥 평활근 작용제</t>
  </si>
  <si>
    <t>C02K</t>
  </si>
  <si>
    <t>OTHER ANTIHYPERTENSIVES</t>
  </si>
  <si>
    <t>기타 항고혈압제</t>
  </si>
  <si>
    <t>C02L</t>
  </si>
  <si>
    <t>ANTIHYPERTENSIVES AND DIURETICS IN COMBINATION</t>
  </si>
  <si>
    <t>항고혈압제와 이뇨제 조합제</t>
  </si>
  <si>
    <t>C03A</t>
  </si>
  <si>
    <t>LOW-CEILING DIURETICS, THIAZIDES</t>
  </si>
  <si>
    <t>저용량 이뇨제, 티아지드계</t>
  </si>
  <si>
    <t>C03B</t>
  </si>
  <si>
    <t>LOW-CEILING DIURETICS, EXCL. THIAZIDES</t>
  </si>
  <si>
    <t>저용량 이뇨제(티아지드 제외)</t>
  </si>
  <si>
    <t>C03C</t>
  </si>
  <si>
    <t>HIGH-CEILING DIURETICS</t>
  </si>
  <si>
    <t>고용량 이뇨제</t>
  </si>
  <si>
    <t>C03D</t>
  </si>
  <si>
    <t>ALDOSTERONE ANTAGONISTS AND OTHER POTASSIUM-SPARING AGENTS</t>
  </si>
  <si>
    <t>알도스테론 길항제 및 칼륨보존성 이뇨제</t>
  </si>
  <si>
    <t>C03E</t>
  </si>
  <si>
    <t>DIURETICS AND POTASSIUM-SPARING AGENTS IN COMBINATION</t>
  </si>
  <si>
    <t>이뇨제 + 칼륨보존성 조합제</t>
  </si>
  <si>
    <t>C03X</t>
  </si>
  <si>
    <t>OTHER DIURETICS</t>
  </si>
  <si>
    <t>기타 이뇨제</t>
  </si>
  <si>
    <t>C04A</t>
  </si>
  <si>
    <t>PERIPHERAL VASODILATORS</t>
  </si>
  <si>
    <t>말초혈관 확장제</t>
  </si>
  <si>
    <t>C05A</t>
  </si>
  <si>
    <t>AGENTS FOR TREATMENT OF HEMORRHOIDS AND ANAL FISSURES FOR TOPICAL USE</t>
  </si>
  <si>
    <t>치질·항문열창 국소치료제</t>
  </si>
  <si>
    <t>C05B</t>
  </si>
  <si>
    <t>ANTIVARICOSE THERAPY</t>
  </si>
  <si>
    <t>정맥류 치료제</t>
  </si>
  <si>
    <t>C05C</t>
  </si>
  <si>
    <t>CAPILLARY STABILIZING AGENTS</t>
  </si>
  <si>
    <t>모세혈관 안정제</t>
  </si>
  <si>
    <t>C05X</t>
  </si>
  <si>
    <t>OTHER VASOPROTECTIVES</t>
  </si>
  <si>
    <t>기타 혈관보호제</t>
  </si>
  <si>
    <t>C07A</t>
  </si>
  <si>
    <t>BETA BLOCKING AGENTS</t>
  </si>
  <si>
    <t>베타차단제</t>
  </si>
  <si>
    <t>C07B</t>
  </si>
  <si>
    <t>BETA BLOCKING AGENTS AND THIAZIDES</t>
  </si>
  <si>
    <t>베타차단제 + 티아지드계</t>
  </si>
  <si>
    <t>C07C</t>
  </si>
  <si>
    <t>BETA BLOCKING AGENTS AND OTHER DIURETICS</t>
  </si>
  <si>
    <t>베타차단제 + 기타 이뇨제</t>
  </si>
  <si>
    <t>C07D</t>
  </si>
  <si>
    <t>BETA BLOCKING AGENTS, THIAZIDES AND OTHER DIURETICS</t>
  </si>
  <si>
    <t>베타차단제 + 티아지드 + 기타 이뇨제</t>
  </si>
  <si>
    <t>C07F</t>
  </si>
  <si>
    <t>BETA BLOCKING AGENTS, OTHER COMBINATIONS</t>
  </si>
  <si>
    <t>베타차단제 기타 조합제</t>
  </si>
  <si>
    <t>C08C</t>
  </si>
  <si>
    <t>SELECTIVE CALCIUM CHANNEL BLOCKERS WITH MAINLY VASCULAR EFFECTS</t>
  </si>
  <si>
    <t>선택적 칼슘채널 차단제 (주로 혈관)</t>
  </si>
  <si>
    <t>C08D</t>
  </si>
  <si>
    <t>SELECTIVE CALCIUM CHANNEL BLOCKERS WITH DIRECT CARDIAC EFFECTS</t>
  </si>
  <si>
    <t>선택적 칼슘채널 차단제 (심장 직접 작용)</t>
  </si>
  <si>
    <t>C08E</t>
  </si>
  <si>
    <t>NON-SELECTIVE CALCIUM CHANNEL BLOCKERS</t>
  </si>
  <si>
    <t>비선택적 칼슘채널 차단제</t>
  </si>
  <si>
    <t>C08G</t>
  </si>
  <si>
    <t>CALCIUM CHANNEL BLOCKERS AND DIURETICS</t>
  </si>
  <si>
    <t>칼슘채널차단제 + 이뇨제</t>
  </si>
  <si>
    <t>C09A</t>
  </si>
  <si>
    <t>ACE INHIBITORS, PLAIN</t>
  </si>
  <si>
    <t>ACE 억제제 단일제</t>
  </si>
  <si>
    <t>C09B</t>
  </si>
  <si>
    <t>ACE INHIBITORS, COMBINATIONS</t>
  </si>
  <si>
    <t>ACE 억제제 조합제</t>
  </si>
  <si>
    <t>C09C</t>
  </si>
  <si>
    <t>ANGIOTENSIN II RECEPTOR BLOCKERS (ARBs), PLAIN</t>
  </si>
  <si>
    <t>ARB 단일제</t>
  </si>
  <si>
    <t>C09D</t>
  </si>
  <si>
    <t>ANGIOTENSIN II RECEPTOR BLOCKERS (ARBs), COMBINATIONS</t>
  </si>
  <si>
    <t>ARB 조합제</t>
  </si>
  <si>
    <t>C09X</t>
  </si>
  <si>
    <t>OTHER AGENTS ACTING ON THE RENIN-ANGIOTENSIN SYSTEM</t>
  </si>
  <si>
    <t>레닌-안지오텐신계 기타 약물</t>
  </si>
  <si>
    <t>C10A</t>
  </si>
  <si>
    <t>LIPID MODIFYING AGENTS, PLAIN</t>
  </si>
  <si>
    <t>지질저하제 단일제</t>
  </si>
  <si>
    <t>C10B</t>
  </si>
  <si>
    <t>LIPID MODIFYING AGENTS, COMBINATIONS</t>
  </si>
  <si>
    <t>지질저하제 조합제</t>
  </si>
  <si>
    <t>D01A</t>
  </si>
  <si>
    <t>ANTIFUNGALS FOR TOPICAL USE</t>
  </si>
  <si>
    <t>국소용 항진균제</t>
  </si>
  <si>
    <t>D01B</t>
  </si>
  <si>
    <t>ANTIFUNGALS FOR SYSTEMIC USE</t>
  </si>
  <si>
    <t>전신용 항진균제</t>
  </si>
  <si>
    <t>D02A</t>
  </si>
  <si>
    <t>EMOLLIENTS AND PROTECTIVES</t>
  </si>
  <si>
    <t>연화제 및 보호제</t>
  </si>
  <si>
    <t>D02B</t>
  </si>
  <si>
    <t>PROTECTIVES AGAINST UV-RADIATION</t>
  </si>
  <si>
    <t>자외선 차단제</t>
  </si>
  <si>
    <t>D03A</t>
  </si>
  <si>
    <t>CICATRIZANTS</t>
  </si>
  <si>
    <t>상처치료제 (흉터 개선)</t>
  </si>
  <si>
    <t>D03B</t>
  </si>
  <si>
    <t>ENZYMES</t>
  </si>
  <si>
    <t>효소제</t>
  </si>
  <si>
    <t>D04A</t>
  </si>
  <si>
    <t>ANTIPRURITICS, INCL. ANTIHISTAMINES, ANESTHETICS, ETC.</t>
  </si>
  <si>
    <t>소양증 완화제(항히스타민·마취제 등 포함)</t>
  </si>
  <si>
    <t>D05A</t>
  </si>
  <si>
    <t>ANTIPSORIATICS FOR TOPICAL USE</t>
  </si>
  <si>
    <t>국소용 건선치료제</t>
  </si>
  <si>
    <t>D05B</t>
  </si>
  <si>
    <t>ANTIPSORIATICS FOR SYSTEMIC USE</t>
  </si>
  <si>
    <t>전신용 건선치료제</t>
  </si>
  <si>
    <t>D06A</t>
  </si>
  <si>
    <t>ANTIBIOTICS FOR TOPICAL USE</t>
  </si>
  <si>
    <t>국소용 항생제</t>
  </si>
  <si>
    <t>D06B</t>
  </si>
  <si>
    <t>CHEMOTHERAPEUTICS FOR TOPICAL USE</t>
  </si>
  <si>
    <t>국소용 항암·화학치료제</t>
  </si>
  <si>
    <t>D07A</t>
  </si>
  <si>
    <t>CORTICOSTEROIDS, PLAIN</t>
  </si>
  <si>
    <t>코르티코스테로이드 단일제</t>
  </si>
  <si>
    <t>D07B</t>
  </si>
  <si>
    <t>CORTICOSTEROIDS, COMBINATIONS WITH ANTISEPTICS</t>
  </si>
  <si>
    <t>코르티코스테로이드 + 방부제</t>
  </si>
  <si>
    <t>D07C</t>
  </si>
  <si>
    <t>CORTICOSTEROIDS, COMBINATIONS WITH ANTIBIOTICS</t>
  </si>
  <si>
    <t>코르티코스테로이드 + 항생제</t>
  </si>
  <si>
    <t>D07X</t>
  </si>
  <si>
    <t>CORTICOSTEROIDS, OTHER COMBINATIONS</t>
  </si>
  <si>
    <t>코르티코스테로이드 기타 조합제</t>
  </si>
  <si>
    <t>D08A</t>
  </si>
  <si>
    <t>ANTISEPTICS AND DISINFECTANTS</t>
  </si>
  <si>
    <t>방부·소독제</t>
  </si>
  <si>
    <t>D09A</t>
  </si>
  <si>
    <t>MEDICATED DRESSINGS</t>
  </si>
  <si>
    <t>약물 함유 드레싱</t>
  </si>
  <si>
    <t>D10A</t>
  </si>
  <si>
    <t>ANTI-ACNE PREPARATIONS FOR TOPICAL USE</t>
  </si>
  <si>
    <t>국소용 여드름 치료제</t>
  </si>
  <si>
    <t>D10B</t>
  </si>
  <si>
    <t>ANTI-ACNE PREPARATIONS FOR SYSTEMIC USE</t>
  </si>
  <si>
    <t>전신용 여드름 치료제</t>
  </si>
  <si>
    <t>D11A</t>
  </si>
  <si>
    <t>OTHER DERMATOLOGICAL PREPARATIONS</t>
  </si>
  <si>
    <t>기타 피부과용 제제</t>
  </si>
  <si>
    <t>G01A</t>
  </si>
  <si>
    <t>ANTIINFECTIVES AND ANTISEPTICS, EXCL. COMBINATIONS WITH CORTICOSTEROIDS</t>
  </si>
  <si>
    <t>항감염제·방부제(코르티코스테로이드 제외)</t>
  </si>
  <si>
    <t>G02A</t>
  </si>
  <si>
    <t>UTEROTONICS</t>
  </si>
  <si>
    <t>자궁수축제</t>
  </si>
  <si>
    <t>G02B</t>
  </si>
  <si>
    <t>CONTRACEPTIVES FOR TOPICAL USE</t>
  </si>
  <si>
    <t>국소용 피임제</t>
  </si>
  <si>
    <t>G02C</t>
  </si>
  <si>
    <t>OTHER GYNECOLOGICALS</t>
  </si>
  <si>
    <t>기타 부인과용 약물</t>
  </si>
  <si>
    <t>G03A</t>
  </si>
  <si>
    <t>HORMONAL CONTRACEPTIVES FOR SYSTEMIC USE</t>
  </si>
  <si>
    <t>전신용 호르몬 피임제</t>
  </si>
  <si>
    <t>G03B</t>
  </si>
  <si>
    <t>ANDROGENS</t>
  </si>
  <si>
    <t>안드로겐제</t>
  </si>
  <si>
    <t>G03C</t>
  </si>
  <si>
    <t>ESTROGENS</t>
  </si>
  <si>
    <t>에스트로겐제</t>
  </si>
  <si>
    <t>G03D</t>
  </si>
  <si>
    <t>PROGESTOGENS</t>
  </si>
  <si>
    <t>프로게스테론제</t>
  </si>
  <si>
    <t>G03E</t>
  </si>
  <si>
    <t>ANDROGENS AND FEMALE SEX HORMONES IN COMBINATION</t>
  </si>
  <si>
    <t>안드로겐 + 여성호르몬 조합제</t>
  </si>
  <si>
    <t>G03F</t>
  </si>
  <si>
    <t>PROGESTOGENS AND ESTROGENS IN COMBINATION</t>
  </si>
  <si>
    <t>프로게스테론 + 에스트로겐 조합제</t>
  </si>
  <si>
    <t>G03G</t>
  </si>
  <si>
    <t>GONADOTROPINS AND OTHER OVULATION STIMULANTS</t>
  </si>
  <si>
    <t>성선자극호르몬 및 배란 촉진제</t>
  </si>
  <si>
    <t>G03H</t>
  </si>
  <si>
    <t>ANTIANDROGENS</t>
  </si>
  <si>
    <t>항안드로겐제</t>
  </si>
  <si>
    <t>G03X</t>
  </si>
  <si>
    <t>OTHER SEX HORMONES AND MODULATORS OF THE GENITAL SYSTEM</t>
  </si>
  <si>
    <t>기타 성호르몬 및 생식계 조절제</t>
  </si>
  <si>
    <t>G04B</t>
  </si>
  <si>
    <t>UROLOGICALS</t>
  </si>
  <si>
    <t>비뇨기계 약물</t>
  </si>
  <si>
    <t>G04C</t>
  </si>
  <si>
    <t>DRUGS USED IN BENIGN PROSTATIC HYPERTROPHY</t>
  </si>
  <si>
    <t>양성 전립선비대 치료제</t>
  </si>
  <si>
    <t>H01A</t>
  </si>
  <si>
    <t>ANTERIOR PITUITARY LOBE HORMONES AND ANALOGUES</t>
  </si>
  <si>
    <t>전엽 호르몬 및 유사체</t>
  </si>
  <si>
    <t>H01B</t>
  </si>
  <si>
    <t>POSTERIOR PITUITARY LOBE HORMONES</t>
  </si>
  <si>
    <t>후엽 호르몬</t>
  </si>
  <si>
    <t>H01C</t>
  </si>
  <si>
    <t>HYPOTHALAMIC HORMONES</t>
  </si>
  <si>
    <t>시상하부 호르몬</t>
  </si>
  <si>
    <t>H02A</t>
  </si>
  <si>
    <t>CORTICOSTEROIDS FOR SYSTEMIC USE, PLAIN</t>
  </si>
  <si>
    <t>전신용 코르티코스테로이드 단일제</t>
  </si>
  <si>
    <t>H02B</t>
  </si>
  <si>
    <t>CORTICOSTEROIDS FOR SYSTEMIC USE, COMBINATIONS</t>
  </si>
  <si>
    <t>전신용 코르티코스테로이드 조합제</t>
  </si>
  <si>
    <t>H02C</t>
  </si>
  <si>
    <t>ANTIADRENAL PREPARATIONS</t>
  </si>
  <si>
    <t>부신 억제제</t>
  </si>
  <si>
    <t>H03A</t>
  </si>
  <si>
    <t>THYROID PREPARATIONS</t>
  </si>
  <si>
    <t>갑상선제</t>
  </si>
  <si>
    <t>H03B</t>
  </si>
  <si>
    <t>ANTITHYROID PREPARATIONS</t>
  </si>
  <si>
    <t>항갑상선제</t>
  </si>
  <si>
    <t>H04A</t>
  </si>
  <si>
    <t>GLYCOGENOLYTIC HORMONES</t>
  </si>
  <si>
    <t>글리코겐분해 호르몬</t>
  </si>
  <si>
    <t>H05A</t>
  </si>
  <si>
    <t>PARATHYROID HORMONES AND ANALOGUES</t>
  </si>
  <si>
    <t>부갑상선 호르몬 및 유사체</t>
  </si>
  <si>
    <t>H05B</t>
  </si>
  <si>
    <t>ANTI-PARATHYROID AGENTS</t>
  </si>
  <si>
    <t>항부갑상선제</t>
  </si>
  <si>
    <t>감염병관련</t>
    <phoneticPr fontId="2" type="noConversion"/>
  </si>
  <si>
    <t>TETRACYCLINES</t>
  </si>
  <si>
    <t>테트라사이클린계 항생제</t>
  </si>
  <si>
    <t>J01B</t>
  </si>
  <si>
    <t>AMPHENICOLS</t>
  </si>
  <si>
    <t>아미페니콜계 항생제</t>
  </si>
  <si>
    <t>J01C</t>
  </si>
  <si>
    <t>BETA-LACTAM ANTIBACTERIALS, PENICILLINS</t>
  </si>
  <si>
    <t>베타락탐계 항생제, 페니실린</t>
  </si>
  <si>
    <t>J01D</t>
  </si>
  <si>
    <t>OTHER BETA-LACTAM ANTIBACTERIALS</t>
  </si>
  <si>
    <t>기타 베타락탐계 항생제</t>
  </si>
  <si>
    <t>J01A</t>
  </si>
  <si>
    <t>J01E</t>
  </si>
  <si>
    <t>SULFONAMIDES AND TRIMETHOPRIM</t>
  </si>
  <si>
    <t>설폰아미드 및 트리메토프림</t>
  </si>
  <si>
    <t>J01F</t>
  </si>
  <si>
    <t>MACROLIDES, LINCOSAMIDES AND STREPTOGRAMINS</t>
  </si>
  <si>
    <t>마크로라이드·링코사마이드·스트렙토그라민</t>
  </si>
  <si>
    <t>J01G</t>
  </si>
  <si>
    <t>AMINOGLYCOSIDE ANTIBACTERIALS</t>
  </si>
  <si>
    <t>아미노글리코사이드계 항생제</t>
  </si>
  <si>
    <t>J01M</t>
  </si>
  <si>
    <t>QUINOLONE ANTIBACTERIALS</t>
  </si>
  <si>
    <t>퀴놀론계 항생제</t>
  </si>
  <si>
    <t>J01R</t>
  </si>
  <si>
    <t>COMBINATIONS OF ANTIBACTERIALS</t>
  </si>
  <si>
    <t>항생제 조합제</t>
  </si>
  <si>
    <t>J01X</t>
  </si>
  <si>
    <t>OTHER ANTIBACTERIALS</t>
  </si>
  <si>
    <t>기타 항생제</t>
  </si>
  <si>
    <t>J02A</t>
  </si>
  <si>
    <t>ANTIMYCOTICS FOR SYSTEMIC USE</t>
  </si>
  <si>
    <t>J04A</t>
  </si>
  <si>
    <t>DRUGS FOR TREATMENT OF TUBERCULOSIS</t>
  </si>
  <si>
    <t>결핵 치료제</t>
  </si>
  <si>
    <t>J04B</t>
  </si>
  <si>
    <t>DRUGS FOR TREATMENT OF LEPRA</t>
  </si>
  <si>
    <t>나병 치료제</t>
  </si>
  <si>
    <t>J05A</t>
  </si>
  <si>
    <t>DIRECT ACTING ANTIVIRALS</t>
  </si>
  <si>
    <t>직접작용 항바이러스제</t>
  </si>
  <si>
    <t>J06A</t>
  </si>
  <si>
    <t>IMMUNE SERA</t>
  </si>
  <si>
    <t>면역 혈청</t>
  </si>
  <si>
    <t>J06B</t>
  </si>
  <si>
    <t>IMMUNOGLOBULINS</t>
  </si>
  <si>
    <t>면역글로불린</t>
  </si>
  <si>
    <t>J07A</t>
  </si>
  <si>
    <t>BACTERIAL VACCINES</t>
  </si>
  <si>
    <t>세균 백신</t>
  </si>
  <si>
    <t>J07B</t>
  </si>
  <si>
    <t>VIRAL VACCINES</t>
  </si>
  <si>
    <t>바이러스 백신</t>
  </si>
  <si>
    <t>J07C</t>
  </si>
  <si>
    <t>BACTERIAL AND VIRAL VACCINES, COMBINED</t>
  </si>
  <si>
    <t>세균+바이러스 백신 조합</t>
  </si>
  <si>
    <t>J07X</t>
  </si>
  <si>
    <t>OTHER VACCINES</t>
  </si>
  <si>
    <t>기타 백신</t>
  </si>
  <si>
    <t>L01A</t>
  </si>
  <si>
    <t>ALKYLATING AGENTS</t>
  </si>
  <si>
    <t>알킬화제 (항암제)</t>
  </si>
  <si>
    <t>L01B</t>
  </si>
  <si>
    <t>ANTIMETABOLITES</t>
  </si>
  <si>
    <t>항대사제</t>
  </si>
  <si>
    <t>L01C</t>
  </si>
  <si>
    <t>PLANT ALKALOIDS AND OTHER NATURAL PRODUCTS</t>
  </si>
  <si>
    <t>식물알칼로이드 및 천연물 항암제</t>
  </si>
  <si>
    <t>L01D</t>
  </si>
  <si>
    <t>CYTOTOXIC ANTIBIOTICS AND RELATED SUBSTANCES</t>
  </si>
  <si>
    <t>세포독성 항생제 및 관련물질</t>
  </si>
  <si>
    <t>L01E</t>
  </si>
  <si>
    <t>PROTEIN KINASE INHIBITORS</t>
  </si>
  <si>
    <t>단백질 키나제 억제제</t>
  </si>
  <si>
    <t>L01F</t>
  </si>
  <si>
    <t>MONOCLONAL ANTIBODIES AND ANTIBODY DRUG CONJUGATES</t>
  </si>
  <si>
    <t>단클론항체 및 항체약물결합제</t>
  </si>
  <si>
    <t>L01X</t>
  </si>
  <si>
    <t>OTHER ANTINEOPLASTIC AGENTS</t>
  </si>
  <si>
    <t>기타 항암제</t>
  </si>
  <si>
    <t>L02A</t>
  </si>
  <si>
    <t>HORMONES AND RELATED AGENTS</t>
  </si>
  <si>
    <t>호르몬 및 관련제</t>
  </si>
  <si>
    <t>L02B</t>
  </si>
  <si>
    <t>HORMONE ANTAGONISTS AND RELATED AGENTS</t>
  </si>
  <si>
    <t>호르몬 길항제 및 관련제</t>
  </si>
  <si>
    <t>L03A</t>
  </si>
  <si>
    <t>IMMUNOSTIMULANTS</t>
  </si>
  <si>
    <t>면역자극제</t>
  </si>
  <si>
    <t>L04A</t>
  </si>
  <si>
    <t>IMMUNOSUPPRESSANTS</t>
  </si>
  <si>
    <t>면역억제제</t>
  </si>
  <si>
    <t>M01A</t>
  </si>
  <si>
    <t>ANTIINFLAMMATORY AND ANTIRHEUMATIC PRODUCTS, NON-STEROIDS</t>
  </si>
  <si>
    <t>비스테로이드성 소염진통제</t>
  </si>
  <si>
    <t>M01B</t>
  </si>
  <si>
    <t>ANTIINFLAMMATORY/ANTIRHEUMATIC AGENTS IN COMBINATION</t>
  </si>
  <si>
    <t>소염·항류머티즘제 조합</t>
  </si>
  <si>
    <t>M01C</t>
  </si>
  <si>
    <t>SPECIFIC ANTIRHEUMATIC AGENTS</t>
  </si>
  <si>
    <t>특정 항류머티즘제</t>
  </si>
  <si>
    <t>M02A</t>
  </si>
  <si>
    <t>TOPICAL PRODUCTS FOR JOINT AND MUSCULAR PAIN</t>
  </si>
  <si>
    <t>관절·근육 통증용 국소제</t>
  </si>
  <si>
    <t>M03A</t>
  </si>
  <si>
    <t>MUSCLE RELAXANTS, PERIPHERALLY ACTING AGENTS</t>
  </si>
  <si>
    <t>말초작용 근이완제</t>
  </si>
  <si>
    <t>M03B</t>
  </si>
  <si>
    <t>MUSCLE RELAXANTS, CENTRALLY ACTING AGENTS</t>
  </si>
  <si>
    <t>중추작용 근이완제</t>
  </si>
  <si>
    <t>M03C</t>
  </si>
  <si>
    <t>MUSCLE RELAXANTS, DIRECTLY ACTING AGENTS</t>
  </si>
  <si>
    <t>직접작용 근이완제</t>
  </si>
  <si>
    <t>M04A</t>
  </si>
  <si>
    <t>ANTIGOUT PREPARATIONS</t>
  </si>
  <si>
    <t>통풍 치료제</t>
  </si>
  <si>
    <t>M05B</t>
  </si>
  <si>
    <t>DRUGS AFFECTING BONE STRUCTURE AND MINERALIZATION</t>
  </si>
  <si>
    <t>골 구조·광물화에 작용하는 약물</t>
  </si>
  <si>
    <t>M09A</t>
  </si>
  <si>
    <t>OTHER DRUGS FOR DISORDERS OF THE MUSCULO-SKELETAL SYSTEM</t>
  </si>
  <si>
    <t>기타 근골격계 약물</t>
  </si>
  <si>
    <t>N01A</t>
  </si>
  <si>
    <t>ANESTHETICS, GENERAL</t>
  </si>
  <si>
    <t>전신마취제</t>
  </si>
  <si>
    <t>N01B</t>
  </si>
  <si>
    <t>ANESTHETICS, LOCAL</t>
  </si>
  <si>
    <t>국소마취제</t>
  </si>
  <si>
    <t>N02A</t>
  </si>
  <si>
    <t>OPIOIDS</t>
  </si>
  <si>
    <t>아편유사제</t>
  </si>
  <si>
    <t>N02C</t>
  </si>
  <si>
    <t>ANTIMIGRAINE PREPARATIONS</t>
  </si>
  <si>
    <t>편두통 치료제</t>
  </si>
  <si>
    <t>N03A</t>
  </si>
  <si>
    <t>ANTIEPILEPTICS</t>
  </si>
  <si>
    <t>항간질제</t>
  </si>
  <si>
    <t>N04A</t>
  </si>
  <si>
    <t>ANTICHOLINERGIC AGENTS</t>
  </si>
  <si>
    <t>항콜린제</t>
  </si>
  <si>
    <t>N04B</t>
  </si>
  <si>
    <t>DOPAMINERGIC AGENTS</t>
  </si>
  <si>
    <t>도파민 작용제</t>
  </si>
  <si>
    <t>N04C</t>
  </si>
  <si>
    <t>OTHER ANTIPARKINSON DRUGS</t>
  </si>
  <si>
    <t>기타 파킨슨병 약물</t>
  </si>
  <si>
    <t>N05A</t>
  </si>
  <si>
    <t>ANTIPSYCHOTICS</t>
  </si>
  <si>
    <t>항정신병제</t>
  </si>
  <si>
    <t>N05B</t>
  </si>
  <si>
    <t>ANXIOLYTICS</t>
  </si>
  <si>
    <t>항불안제</t>
  </si>
  <si>
    <t>N05C</t>
  </si>
  <si>
    <t>HYPNOTICS AND SEDATIVES</t>
  </si>
  <si>
    <t>수면제·진정제</t>
  </si>
  <si>
    <t>N06A</t>
  </si>
  <si>
    <t>ANTIDEPRESSANTS</t>
  </si>
  <si>
    <t>항우울제</t>
  </si>
  <si>
    <t>N06B</t>
  </si>
  <si>
    <t>PSYCHOSTIMULANTS, AGENTS USED FOR ADHD AND NOOTROPICS</t>
  </si>
  <si>
    <t>정신자극제, ADHD·인지증강제</t>
  </si>
  <si>
    <t>N06C</t>
  </si>
  <si>
    <t>PSYCHOLEPTICS AND PSYCHOANALEPTICS IN COMBINATION</t>
  </si>
  <si>
    <t>정신안정제·정신활성제 조합</t>
  </si>
  <si>
    <t>N06D</t>
  </si>
  <si>
    <t>ANTI-DEMENTIA DRUGS</t>
  </si>
  <si>
    <t>항치매제</t>
  </si>
  <si>
    <t>N07A</t>
  </si>
  <si>
    <t>PARASYMPATHOMIMETICS</t>
  </si>
  <si>
    <t>부교감신경 작용제</t>
  </si>
  <si>
    <t>N07B</t>
  </si>
  <si>
    <t>DRUGS USED IN ADDICTIVE DISORDERS</t>
  </si>
  <si>
    <t>중독질환 치료제</t>
  </si>
  <si>
    <t>N07C</t>
  </si>
  <si>
    <t>ANTIVERTIGO PREPARATIONS</t>
  </si>
  <si>
    <t>항현훈제</t>
  </si>
  <si>
    <t>N07X</t>
  </si>
  <si>
    <t>OTHER NERVOUS SYSTEM DRUGS</t>
  </si>
  <si>
    <t>기타 신경계 약물</t>
  </si>
  <si>
    <t>P01A</t>
  </si>
  <si>
    <t>AGENTS AGAINST AMOEBIASIS AND OTHER PROTOZOAL DISEASES</t>
  </si>
  <si>
    <t>아메바·원생동물 질환 치료제</t>
  </si>
  <si>
    <t>P01B</t>
  </si>
  <si>
    <t>ANTIMALARIALS</t>
  </si>
  <si>
    <t>항말라리아제</t>
  </si>
  <si>
    <t>P01C</t>
  </si>
  <si>
    <t>AGENTS AGAINST LEISHMANIASIS AND TRYPANOSOMIASIS</t>
  </si>
  <si>
    <t>리슈마니아·트리파노좀 치료제</t>
  </si>
  <si>
    <t>P02B</t>
  </si>
  <si>
    <t>ANTITREMATODALS</t>
  </si>
  <si>
    <t>간흡충 치료제</t>
  </si>
  <si>
    <t>P02C</t>
  </si>
  <si>
    <t>ANTINEMATODAL AGENTS</t>
  </si>
  <si>
    <t>선충류 치료제</t>
  </si>
  <si>
    <t>P02D</t>
  </si>
  <si>
    <t>ANTICESTODALS</t>
  </si>
  <si>
    <t>촌충 치료제</t>
  </si>
  <si>
    <t>P03A</t>
  </si>
  <si>
    <t>ECTOPARASITICIDES, INCL. SCABICIDES</t>
  </si>
  <si>
    <t>외부기생충 치료제(옴치료제 포함)</t>
  </si>
  <si>
    <t>P03B</t>
  </si>
  <si>
    <t>INSECTICIDES AND REPELLENTS</t>
  </si>
  <si>
    <t>살충제·기피제</t>
  </si>
  <si>
    <t>R01A</t>
  </si>
  <si>
    <t>DECONGESTANTS AND OTHER NASAL PREPARATIONS FOR TOPICAL USE</t>
  </si>
  <si>
    <t>국소용 코막힘·비강제제</t>
  </si>
  <si>
    <t>R01B</t>
  </si>
  <si>
    <t>NASAL DECONGESTANTS FOR SYSTEMIC USE</t>
  </si>
  <si>
    <t>전신용 비충혈제거제</t>
  </si>
  <si>
    <t>R02A</t>
  </si>
  <si>
    <t>THROAT PREPARATIONS</t>
  </si>
  <si>
    <t>인후용 제제</t>
  </si>
  <si>
    <t>R03A</t>
  </si>
  <si>
    <t>ADRENERGICS, INHALANTS</t>
  </si>
  <si>
    <t>흡입형 아드레날린제</t>
  </si>
  <si>
    <t>R03B</t>
  </si>
  <si>
    <t>OTHER DRUGS FOR OBSTRUCTIVE AIRWAY DISEASES, INHALANTS</t>
  </si>
  <si>
    <t>기타 기도폐쇄 질환용 흡입제</t>
  </si>
  <si>
    <t>R03C</t>
  </si>
  <si>
    <t>ADRENERGICS FOR SYSTEMIC USE</t>
  </si>
  <si>
    <t>전신용 아드레날린제</t>
  </si>
  <si>
    <t>R03D</t>
  </si>
  <si>
    <t>OTHER SYSTEMIC DRUGS FOR OBSTRUCTIVE AIRWAY DISEASES</t>
  </si>
  <si>
    <t>전신용 기도폐쇄 질환 약물</t>
  </si>
  <si>
    <t>R05C</t>
  </si>
  <si>
    <t>EXPECTORANTS, EXCL. COMBINATIONS WITH COUGH SUPPRESSANTS</t>
  </si>
  <si>
    <t>거담제(진해제 조합 제외)</t>
  </si>
  <si>
    <t>R05D</t>
  </si>
  <si>
    <t>COUGH SUPPRESSANTS, EXCL. COMBINATIONS WITH EXPECTORANTS</t>
  </si>
  <si>
    <t>진해제(거담제 조합 제외)</t>
  </si>
  <si>
    <t>R05F</t>
  </si>
  <si>
    <t>COUGH SUPPRESSANTS AND EXPECTORANTS, COMBINATIONS</t>
  </si>
  <si>
    <t>진해제+거담제 조합제</t>
  </si>
  <si>
    <t>R06A</t>
  </si>
  <si>
    <t>ANTIHISTAMINES FOR SYSTEMIC USE</t>
  </si>
  <si>
    <t>전신용 항히스타민제</t>
  </si>
  <si>
    <t>R07A</t>
  </si>
  <si>
    <t>OTHER RESPIRATORY SYSTEM PRODUCTS</t>
  </si>
  <si>
    <t>기타 호흡기용 약물</t>
  </si>
  <si>
    <t>S01A</t>
  </si>
  <si>
    <t>ANTIINFECTIVES</t>
  </si>
  <si>
    <t>안과용 항감염제</t>
  </si>
  <si>
    <t>S01B</t>
  </si>
  <si>
    <t>ANTIINFLAMMATORY AGENTS</t>
  </si>
  <si>
    <t>안과용 소염제</t>
  </si>
  <si>
    <t>S01C</t>
  </si>
  <si>
    <t>ANTIINFLAMMATORY AGENTS AND ANTIINFECTIVES IN COMBINATION</t>
  </si>
  <si>
    <t>안과용 소염+항감염 조합</t>
  </si>
  <si>
    <t>S01E</t>
  </si>
  <si>
    <t>ANTIGLAUCOMA PREPARATIONS AND MIOTICS</t>
  </si>
  <si>
    <t>녹내장 치료제 및 축동제</t>
  </si>
  <si>
    <t>S01F</t>
  </si>
  <si>
    <t>MYDRIATICS AND CYCLOPLEGICS</t>
  </si>
  <si>
    <t>산동·조절마비제</t>
  </si>
  <si>
    <t>S01G</t>
  </si>
  <si>
    <t>DECONGESTANTS AND ANTIALLERGICS</t>
  </si>
  <si>
    <t>충혈제거제 및 항알레르기제</t>
  </si>
  <si>
    <t>S01H</t>
  </si>
  <si>
    <t>LOCAL ANESTHETICS</t>
  </si>
  <si>
    <t>S01J</t>
  </si>
  <si>
    <t>DIAGNOSTIC AGENTS</t>
  </si>
  <si>
    <t>안과용 진단제</t>
  </si>
  <si>
    <t>S01K</t>
  </si>
  <si>
    <t>SURGICAL AIDS</t>
  </si>
  <si>
    <t>안과용 수술보조제</t>
  </si>
  <si>
    <t>S01L</t>
  </si>
  <si>
    <t>OCULAR VASCULAR DISORDER AGENTS</t>
  </si>
  <si>
    <t>안구혈관질환 치료제</t>
  </si>
  <si>
    <t>S01X</t>
  </si>
  <si>
    <t>OTHER OPHTHALMOLOGICALS</t>
  </si>
  <si>
    <t>기타 안과약물</t>
  </si>
  <si>
    <t>S02A</t>
  </si>
  <si>
    <t>이비인후과용 항감염제</t>
  </si>
  <si>
    <t>S02B</t>
  </si>
  <si>
    <t>CORTICOSTEROIDS</t>
  </si>
  <si>
    <t>코르티코스테로이드</t>
  </si>
  <si>
    <t>S02C</t>
  </si>
  <si>
    <t>CORTICOSTEROIDS AND ANTIINFECTIVES IN COMBINATION</t>
  </si>
  <si>
    <t>코르티코스테로이드+항감염제 조합</t>
  </si>
  <si>
    <t>S02D</t>
  </si>
  <si>
    <t>OTHER OTOLOGICALS</t>
  </si>
  <si>
    <t>기타 귀과용 약물</t>
  </si>
  <si>
    <t>S03A</t>
  </si>
  <si>
    <t>구강용 항감염제</t>
  </si>
  <si>
    <t>S03B</t>
  </si>
  <si>
    <t>구강용 코르티코스테로이드</t>
  </si>
  <si>
    <t>S03C</t>
  </si>
  <si>
    <t>구강용 코르티코스테로이드+항감염제 조합</t>
  </si>
  <si>
    <t>V01A</t>
  </si>
  <si>
    <t>ALLERGENS</t>
  </si>
  <si>
    <t>알레르겐</t>
  </si>
  <si>
    <t>V03A</t>
  </si>
  <si>
    <t>ALL OTHER THERAPEUTIC PRODUCTS</t>
  </si>
  <si>
    <t>기타 치료제</t>
  </si>
  <si>
    <t>V04C</t>
  </si>
  <si>
    <t>OTHER DIAGNOSTIC AGENTS</t>
  </si>
  <si>
    <t>기타 진단제</t>
  </si>
  <si>
    <t>V06D</t>
  </si>
  <si>
    <t>OTHER NUTRIENTS</t>
  </si>
  <si>
    <t>기타 영양제</t>
  </si>
  <si>
    <t>V08A</t>
  </si>
  <si>
    <t>X-RAY CONTRAST MEDIA, IODINATED</t>
  </si>
  <si>
    <t>요오드화 X선 조영제</t>
  </si>
  <si>
    <t>V08B</t>
  </si>
  <si>
    <t>X-RAY CONTRAST MEDIA, NON-IODINATED</t>
  </si>
  <si>
    <t>비요오드 X선 조영제</t>
  </si>
  <si>
    <t>V08C</t>
  </si>
  <si>
    <t>MAGNETIC RESONANCE IMAGING CONTRAST MEDIA</t>
  </si>
  <si>
    <t>MRI 조영제</t>
  </si>
  <si>
    <t>V08D</t>
  </si>
  <si>
    <t>ULTRASOUND CONTRAST MEDIA</t>
  </si>
  <si>
    <t>초음파 조영제</t>
  </si>
  <si>
    <t>V09A</t>
  </si>
  <si>
    <t>CENTRAL NERVOUS SYSTEM</t>
  </si>
  <si>
    <t>중추신경계 진단 방사성약</t>
  </si>
  <si>
    <t>V09B</t>
  </si>
  <si>
    <t>SKELETON</t>
  </si>
  <si>
    <t>골격 진단 방사성약</t>
  </si>
  <si>
    <t>V09C</t>
  </si>
  <si>
    <t>RENAL SYSTEM</t>
  </si>
  <si>
    <t>신장 진단 방사성약</t>
  </si>
  <si>
    <t>V09D</t>
  </si>
  <si>
    <t>HEPATIC AND RETICULO ENDOTHELIAL SYSTEM</t>
  </si>
  <si>
    <t>간·망상내피계 진단 방사성약</t>
  </si>
  <si>
    <t>V09E</t>
  </si>
  <si>
    <t>RESPIRATORY SYSTEM</t>
  </si>
  <si>
    <t>호흡기 진단 방사성약</t>
  </si>
  <si>
    <t>V09F</t>
  </si>
  <si>
    <t>THYROID</t>
  </si>
  <si>
    <t>갑상선 진단 방사성약</t>
  </si>
  <si>
    <t>V09G</t>
  </si>
  <si>
    <t>CARDIOVASCULAR SYSTEM</t>
  </si>
  <si>
    <t>심혈관계 진단 방사성약</t>
  </si>
  <si>
    <t>V09H</t>
  </si>
  <si>
    <t>INFLAMMATION AND INFECTION DETECTION</t>
  </si>
  <si>
    <t>염증·감염 진단 방사성약</t>
  </si>
  <si>
    <t>V09I</t>
  </si>
  <si>
    <t>TUMOUR DETECTION</t>
  </si>
  <si>
    <t>종양 진단 방사성약</t>
  </si>
  <si>
    <t>V09X</t>
  </si>
  <si>
    <t>OTHER DIAGNOSTIC RADIOPHARMACEUTICALS</t>
  </si>
  <si>
    <t>기타 진단 방사성약</t>
  </si>
  <si>
    <t>V10A</t>
  </si>
  <si>
    <t>소염 방사성약</t>
  </si>
  <si>
    <t>V10B</t>
  </si>
  <si>
    <t>PAIN PALLIATION (BONE SEEKING AGENTS)</t>
  </si>
  <si>
    <t>통증 완화용 방사성약 (골 표적)</t>
  </si>
  <si>
    <t>V10X</t>
  </si>
  <si>
    <t>OTHER THERAPEUTIC RADIOPHARMACEUTICALS</t>
  </si>
  <si>
    <t>기타 치료용 방사성</t>
  </si>
  <si>
    <t>https://www.kdca.go.kr/board/board.es?mid=a21106020000&amp;bid=0055</t>
    <phoneticPr fontId="2" type="noConversion"/>
  </si>
  <si>
    <t>https://www.data.go.kr/data/15142108/fileData.do</t>
    <phoneticPr fontId="2" type="noConversion"/>
  </si>
  <si>
    <t>http://apis.data.go.kr/B551182/msupUserInfoService1.2/getAtcStp3AreaList1.2</t>
    <phoneticPr fontId="20" type="noConversion"/>
  </si>
  <si>
    <t xml:space="preserve"> 전국 응급의료기관 실시간 현황 정보</t>
    <phoneticPr fontId="2" type="noConversion"/>
  </si>
  <si>
    <t>감염성질환(인플루엔자) 의료이용정보</t>
  </si>
  <si>
    <t>국경일(국경일, 공휴일, 대체공유일) 정보</t>
  </si>
  <si>
    <t>의약품사용정보</t>
    <phoneticPr fontId="20" type="noConversion"/>
  </si>
  <si>
    <t>- 감염병 포털 서비스로 통합 처리</t>
    <phoneticPr fontId="2" type="noConversion"/>
  </si>
  <si>
    <t>인플루엔자 발생현황(주간)</t>
    <phoneticPr fontId="2" type="noConversion"/>
  </si>
  <si>
    <t>감염성질환(인플루엔자) 의료이용정보</t>
    <phoneticPr fontId="2" type="noConversion"/>
  </si>
  <si>
    <t>감염자 수 데이터와 함께 존재</t>
    <phoneticPr fontId="2" type="noConversion"/>
  </si>
  <si>
    <t>ds_0101</t>
    <phoneticPr fontId="2" type="noConversion"/>
  </si>
  <si>
    <t>ds_0201</t>
    <phoneticPr fontId="2" type="noConversion"/>
  </si>
  <si>
    <t>ds_0503</t>
  </si>
  <si>
    <t>ds_0505</t>
  </si>
  <si>
    <t>ds_0506</t>
  </si>
  <si>
    <t>ds_0301</t>
    <phoneticPr fontId="2" type="noConversion"/>
  </si>
  <si>
    <t>ds_0401</t>
    <phoneticPr fontId="2" type="noConversion"/>
  </si>
  <si>
    <t>ds_0501</t>
    <phoneticPr fontId="2" type="noConversion"/>
  </si>
  <si>
    <t>ds_0502</t>
    <phoneticPr fontId="2" type="noConversion"/>
  </si>
  <si>
    <t>ds_0504</t>
    <phoneticPr fontId="2" type="noConversion"/>
  </si>
  <si>
    <t>ds_0507</t>
    <phoneticPr fontId="2" type="noConversion"/>
  </si>
  <si>
    <t>인플루엔자 시군구별 국가예방접종 현황</t>
  </si>
  <si>
    <t>https://www.data.go.kr/data/15142108/fileData.do</t>
  </si>
  <si>
    <t>ds_0202</t>
    <phoneticPr fontId="2" type="noConversion"/>
  </si>
  <si>
    <t>질병 세분류(4단 상병) 통계-성별/연령5세구간별</t>
    <phoneticPr fontId="2" type="noConversion"/>
  </si>
  <si>
    <t>https://opendata.hira.or.kr/op/opc/olap4thDsInfoTab2.do</t>
    <phoneticPr fontId="2" type="noConversion"/>
  </si>
  <si>
    <t>1개월</t>
    <phoneticPr fontId="2" type="noConversion"/>
  </si>
  <si>
    <t>네이버</t>
    <phoneticPr fontId="2" type="noConversion"/>
  </si>
  <si>
    <t>네이버 트렌드</t>
    <phoneticPr fontId="2" type="noConversion"/>
  </si>
  <si>
    <t>https://trends.google.co.kr/trends/explore?geo=KR&amp;hl=ko</t>
  </si>
  <si>
    <t>https://trends.google.co.kr/trends/explore?geo=KR&amp;q=%EA%B0%90%EA%B8%B0&amp;hl=ko</t>
  </si>
  <si>
    <t>https://openapi.naver.com/v1/datalab/search</t>
    <phoneticPr fontId="2" type="noConversion"/>
  </si>
  <si>
    <t>https://developers.naver.com/docs/serviceapi/datalab/search/search.md</t>
  </si>
  <si>
    <t>ds_0901
ds_0902</t>
    <phoneticPr fontId="2" type="noConversion"/>
  </si>
  <si>
    <t>ds_1201</t>
    <phoneticPr fontId="2" type="noConversion"/>
  </si>
  <si>
    <t>who</t>
    <phoneticPr fontId="2" type="noConversion"/>
  </si>
  <si>
    <t>flunet</t>
    <phoneticPr fontId="2" type="noConversion"/>
  </si>
  <si>
    <t>csv</t>
    <phoneticPr fontId="2" type="noConversion"/>
  </si>
  <si>
    <t>FILE</t>
    <phoneticPr fontId="2" type="noConversion"/>
  </si>
  <si>
    <t>ds_0601</t>
    <phoneticPr fontId="2" type="noConversion"/>
  </si>
  <si>
    <t>ds_0701</t>
    <phoneticPr fontId="2" type="noConversion"/>
  </si>
  <si>
    <t>ds_0801</t>
    <phoneticPr fontId="2" type="noConversion"/>
  </si>
  <si>
    <t>서비스 URL</t>
    <phoneticPr fontId="2" type="noConversion"/>
  </si>
  <si>
    <t>제공형태</t>
    <phoneticPr fontId="2" type="noConversion"/>
  </si>
  <si>
    <t>PDF</t>
    <phoneticPr fontId="2" type="noConversion"/>
  </si>
  <si>
    <t>질병관리청</t>
    <phoneticPr fontId="2" type="noConversion"/>
  </si>
  <si>
    <t>감염재생산지수 개념 및 방역정책에 따른 변화</t>
  </si>
  <si>
    <t>https://www.kdca.go.kr/board/board.es?mid=a20602010000&amp;bid=0034&amp;act=view&amp;list_no=712025</t>
    <phoneticPr fontId="2" type="noConversion"/>
  </si>
  <si>
    <t>질병관리청 코로나19 대응 백서</t>
  </si>
  <si>
    <t>국내 코로나바이러스감염증-19 재감염 추정사례 현황 및 예방접종 효과 평가</t>
  </si>
  <si>
    <t>https://www.phwr.org/journal/view.html?pn=search&amp;uid=192&amp;vmd=Full</t>
  </si>
  <si>
    <t>의료통계정보-지역별 종별 의료인력I(의사 등)</t>
  </si>
  <si>
    <t>https://www.kdca.go.kr/board/board.es?mid=a20504000000&amp;bid=0014&amp;list_no=727575&amp;act=view</t>
    <phoneticPr fontId="2" type="noConversion"/>
  </si>
  <si>
    <t>https://www.bigdata-119.kr/goods/goodsInfo?goods_mng_sn=366</t>
    <phoneticPr fontId="2" type="noConversion"/>
  </si>
  <si>
    <t>ds_0901</t>
    <phoneticPr fontId="2" type="noConversion"/>
  </si>
  <si>
    <t>x</t>
    <phoneticPr fontId="2" type="noConversion"/>
  </si>
  <si>
    <t>x 트렌드</t>
    <phoneticPr fontId="2" type="noConversion"/>
  </si>
  <si>
    <t>https://docs.x.com/x-api/introduction</t>
  </si>
  <si>
    <t>https://api.twitter.com/2/tweets/counts/recent</t>
    <phoneticPr fontId="2" type="noConversion"/>
  </si>
  <si>
    <t>ds_0102</t>
  </si>
  <si>
    <t>ds_0103</t>
  </si>
  <si>
    <t>ds_0104</t>
  </si>
  <si>
    <t>ds_0105</t>
  </si>
  <si>
    <t>ds_0106</t>
  </si>
  <si>
    <t>ds_0107</t>
  </si>
  <si>
    <t>ds_0108</t>
  </si>
  <si>
    <t>인플루엔자 유행단계</t>
    <phoneticPr fontId="2" type="noConversion"/>
  </si>
  <si>
    <t>급성호흡기감염증 환자 중 인플루엔자 환자 수(ARI)</t>
    <phoneticPr fontId="2" type="noConversion"/>
  </si>
  <si>
    <t>중증급성호흡기감염증 환자 중 인플루엔자 환자 수(SARI)</t>
    <phoneticPr fontId="2" type="noConversion"/>
  </si>
  <si>
    <t>응급실 인플루엔자 환자 수(NEDIS)</t>
    <phoneticPr fontId="2" type="noConversion"/>
  </si>
  <si>
    <t>https://dportal.kdca.go.kr/pot/is/st/fluON.do</t>
  </si>
  <si>
    <t>7일</t>
  </si>
  <si>
    <t>https://public.tableau.com/app/profile/kimjia/viz/_17530910022760/05_KRISS</t>
  </si>
  <si>
    <t>https://public.tableau.com/app/profile/kimjia/viz/_17530910022760/06LAB</t>
  </si>
  <si>
    <t>https://public.tableau.com/app/profile/kimjia/viz/_17530910022760/07NEDIS</t>
  </si>
  <si>
    <t>https://public.tableau.com/app/profile/kimjia/viz/_17530910022760/08VAC</t>
    <phoneticPr fontId="2" type="noConversion"/>
  </si>
  <si>
    <t>ds_0109</t>
  </si>
  <si>
    <t>ds_0110</t>
  </si>
  <si>
    <t>ds_0111</t>
  </si>
  <si>
    <t>의원급 의료기관 인플루엔자 검출률(K-RISS)-아형별</t>
    <phoneticPr fontId="2" type="noConversion"/>
  </si>
  <si>
    <t>의원급 의료기관 인플루엔자 검출률(K-RISS)-연령대별</t>
    <phoneticPr fontId="2" type="noConversion"/>
  </si>
  <si>
    <t>검사기관 인플루엔자 검출률-아형별</t>
    <phoneticPr fontId="2" type="noConversion"/>
  </si>
  <si>
    <t>검사기관 인플루엔자 검출률-연령대별</t>
    <phoneticPr fontId="2" type="noConversion"/>
  </si>
  <si>
    <t>인플루엔자 예방접종률-어르신</t>
    <phoneticPr fontId="2" type="noConversion"/>
  </si>
  <si>
    <t>인플루엔자 예방접종률-어린이</t>
    <phoneticPr fontId="2" type="noConversion"/>
  </si>
  <si>
    <t>https://www.data.go.kr/data/15047819/openapi.do</t>
    <phoneticPr fontId="2" type="noConversion"/>
  </si>
  <si>
    <t>서비스현황</t>
    <phoneticPr fontId="2" type="noConversion"/>
  </si>
  <si>
    <t>크롤링여부</t>
    <phoneticPr fontId="2" type="noConversion"/>
  </si>
  <si>
    <t>크롤링개선여부</t>
    <phoneticPr fontId="2" type="noConversion"/>
  </si>
  <si>
    <t>https://xmart-api-public.who.int/FLUMART/VIW_FNT?$format=csv</t>
    <phoneticPr fontId="2" type="noConversion"/>
  </si>
  <si>
    <t>https://public.tableau.com/app/profile/kimjia/viz/_17530910022760/01</t>
    <phoneticPr fontId="2" type="noConversion"/>
  </si>
  <si>
    <t>O</t>
    <phoneticPr fontId="2" type="noConversion"/>
  </si>
  <si>
    <t>개발서버 검증</t>
    <phoneticPr fontId="2" type="noConversion"/>
  </si>
  <si>
    <t>JBNU 서버 검증</t>
    <phoneticPr fontId="2" type="noConversion"/>
  </si>
  <si>
    <t>사용 중단</t>
    <phoneticPr fontId="2" type="noConversion"/>
  </si>
  <si>
    <t>https://dportal.kdca.go.kr/pot/is/st/fluON.do</t>
    <phoneticPr fontId="2" type="noConversion"/>
  </si>
  <si>
    <t>https://public.tableau.com/app/profile/kimjia/viz/_17530910022760/02ILI</t>
    <phoneticPr fontId="2" type="noConversion"/>
  </si>
  <si>
    <t>2017년 36주부터</t>
    <phoneticPr fontId="2" type="noConversion"/>
  </si>
  <si>
    <t>https://public.tableau.com/app/profile/kimjia/viz/_17530910022760/03ARI</t>
    <phoneticPr fontId="2" type="noConversion"/>
  </si>
  <si>
    <t>https://public.tableau.com/app/profile/kimjia/viz/_17530910022760/04SARI</t>
    <phoneticPr fontId="2" type="noConversion"/>
  </si>
  <si>
    <t>과거 데이터 수집 가능 여부</t>
    <phoneticPr fontId="2" type="noConversion"/>
  </si>
  <si>
    <t>https://public.tableau.com/app/profile/kimjia/viz/_17530910022760/05_KRISS</t>
    <phoneticPr fontId="2" type="noConversion"/>
  </si>
  <si>
    <t>2024년 1주부터</t>
    <phoneticPr fontId="2" type="noConversion"/>
  </si>
  <si>
    <t>2018년 36주부터</t>
    <phoneticPr fontId="2" type="noConversion"/>
  </si>
  <si>
    <t>2018년 4분기부터</t>
    <phoneticPr fontId="2" type="noConversion"/>
  </si>
  <si>
    <t>2010년 1월부터</t>
    <phoneticPr fontId="2" type="noConversion"/>
  </si>
  <si>
    <t>2015~2023년</t>
    <phoneticPr fontId="2" type="noConversion"/>
  </si>
  <si>
    <t>2009~2020년</t>
    <phoneticPr fontId="2" type="noConversion"/>
  </si>
  <si>
    <t>2020~2024년</t>
    <phoneticPr fontId="2" type="noConversion"/>
  </si>
  <si>
    <t>1904년 4월부터</t>
    <phoneticPr fontId="2" type="noConversion"/>
  </si>
  <si>
    <t>2015~2016절기 부터</t>
    <phoneticPr fontId="2" type="noConversion"/>
  </si>
  <si>
    <t>https://www.who.int/tools/flunet</t>
    <phoneticPr fontId="2" type="noConversion"/>
  </si>
  <si>
    <t>2001년 8월 20일부터</t>
    <phoneticPr fontId="2" type="noConversion"/>
  </si>
  <si>
    <t>사용 중단(PyTrends 쿼터 제한이 심각함)</t>
    <phoneticPr fontId="2" type="noConversion"/>
  </si>
  <si>
    <t>2004년 1월 1일부터</t>
    <phoneticPr fontId="2" type="noConversion"/>
  </si>
  <si>
    <t>2016년 1월부터</t>
    <phoneticPr fontId="2" type="noConversion"/>
  </si>
  <si>
    <t>2006년 7월 15일(twitter 오픈일) 부터, 유료결제(5000$) 필요</t>
    <phoneticPr fontId="2" type="noConversion"/>
  </si>
  <si>
    <t>수집여부</t>
    <phoneticPr fontId="2" type="noConversion"/>
  </si>
  <si>
    <t>https://public.tableau.com/app/profile/kimjia/viz/_17530910022760/06LAB</t>
    <phoneticPr fontId="2" type="noConversion"/>
  </si>
  <si>
    <t>2015년 1월 이후부터 수집</t>
    <phoneticPr fontId="2" type="noConversion"/>
  </si>
  <si>
    <t>2001~2025년(통합대기환경지수 없음)
2015년 1월 이후부터 수집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</si>
</sst>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rgb="FF006100"/>
      <name val="맑은 고딕"/>
      <family val="3"/>
      <charset val="129"/>
      <scheme val="minor"/>
    </font>
    <font>
      <sz val="11"/>
      <color rgb="FF9C6500"/>
      <name val="맑은 고딕"/>
      <family val="2"/>
      <charset val="129"/>
      <scheme val="minor"/>
    </font>
    <font>
      <u/>
      <sz val="11"/>
      <color theme="10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F0000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sz val="11"/>
      <color rgb="FFFA7D00"/>
      <name val="맑은 고딕"/>
      <family val="3"/>
      <charset val="129"/>
      <scheme val="minor"/>
    </font>
    <font>
      <b/>
      <sz val="11"/>
      <color rgb="FFFA7D00"/>
      <name val="맑은 고딕"/>
      <family val="3"/>
      <charset val="129"/>
      <scheme val="minor"/>
    </font>
    <font>
      <sz val="11"/>
      <color rgb="FF9C6500"/>
      <name val="맑은 고딕"/>
      <family val="3"/>
      <charset val="129"/>
      <scheme val="minor"/>
    </font>
    <font>
      <b/>
      <sz val="14"/>
      <color rgb="FFFF0000"/>
      <name val="맑은 고딕"/>
      <family val="3"/>
      <charset val="129"/>
      <scheme val="minor"/>
    </font>
    <font>
      <sz val="11"/>
      <color rgb="FF006100"/>
      <name val="맑은 고딕"/>
      <family val="3"/>
      <charset val="129"/>
      <scheme val="minor"/>
    </font>
    <font>
      <sz val="11"/>
      <color theme="7" tint="-0.499984740745262"/>
      <name val="맑은 고딕"/>
      <family val="3"/>
      <charset val="129"/>
      <scheme val="minor"/>
    </font>
    <font>
      <b/>
      <sz val="11"/>
      <color theme="7" tint="-0.499984740745262"/>
      <name val="맑은 고딕"/>
      <family val="3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b/>
      <sz val="11"/>
      <color rgb="FF006100"/>
      <name val="맑은 고딕"/>
      <family val="2"/>
      <charset val="129"/>
      <scheme val="minor"/>
    </font>
    <font>
      <sz val="11"/>
      <color rgb="FF3B4151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  <font>
      <sz val="11"/>
      <color rgb="FF9C0006"/>
      <name val="맑은 고딕"/>
      <family val="2"/>
      <charset val="129"/>
      <scheme val="minor"/>
    </font>
  </fonts>
  <fills count="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EB9C"/>
      </patternFill>
    </fill>
    <fill>
      <patternFill patternType="solid">
        <fgColor rgb="FFF2F2F2"/>
      </patternFill>
    </fill>
    <fill>
      <patternFill patternType="solid">
        <fgColor rgb="FFFFC7CE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</borders>
  <cellStyleXfs count="6">
    <xf numFmtId="0" fontId="0" fillId="0" borderId="0">
      <alignment vertical="center"/>
    </xf>
    <xf numFmtId="0" fontId="1" fillId="2" borderId="0" applyNumberFormat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7" fillId="4" borderId="5" applyNumberFormat="0" applyAlignment="0" applyProtection="0">
      <alignment vertical="center"/>
    </xf>
    <xf numFmtId="0" fontId="21" fillId="5" borderId="0" applyNumberFormat="0" applyBorder="0" applyAlignment="0" applyProtection="0">
      <alignment vertical="center"/>
    </xf>
  </cellStyleXfs>
  <cellXfs count="90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1" fillId="2" borderId="1" xfId="1" applyBorder="1">
      <alignment vertical="center"/>
    </xf>
    <xf numFmtId="0" fontId="0" fillId="0" borderId="1" xfId="0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3" fillId="2" borderId="1" xfId="1" applyFont="1" applyBorder="1" applyAlignment="1">
      <alignment horizontal="center" vertical="center"/>
    </xf>
    <xf numFmtId="0" fontId="0" fillId="0" borderId="1" xfId="0" quotePrefix="1" applyBorder="1">
      <alignment vertical="center"/>
    </xf>
    <xf numFmtId="0" fontId="0" fillId="0" borderId="1" xfId="0" quotePrefix="1" applyBorder="1" applyAlignment="1">
      <alignment vertical="center" wrapText="1"/>
    </xf>
    <xf numFmtId="0" fontId="4" fillId="3" borderId="1" xfId="2" applyBorder="1" applyAlignment="1">
      <alignment horizontal="left" vertical="center"/>
    </xf>
    <xf numFmtId="0" fontId="4" fillId="3" borderId="1" xfId="2" applyBorder="1">
      <alignment vertical="center"/>
    </xf>
    <xf numFmtId="0" fontId="4" fillId="3" borderId="1" xfId="2" applyBorder="1" applyAlignment="1">
      <alignment horizontal="center" vertical="center"/>
    </xf>
    <xf numFmtId="0" fontId="1" fillId="2" borderId="1" xfId="1" applyBorder="1" applyAlignment="1">
      <alignment horizontal="left" vertical="center"/>
    </xf>
    <xf numFmtId="0" fontId="1" fillId="2" borderId="1" xfId="1" applyBorder="1" applyAlignment="1">
      <alignment horizontal="center" vertical="center"/>
    </xf>
    <xf numFmtId="0" fontId="1" fillId="2" borderId="1" xfId="1" quotePrefix="1" applyBorder="1">
      <alignment vertical="center"/>
    </xf>
    <xf numFmtId="0" fontId="1" fillId="2" borderId="1" xfId="1" quotePrefix="1" applyBorder="1" applyAlignment="1">
      <alignment vertical="center" wrapText="1"/>
    </xf>
    <xf numFmtId="0" fontId="5" fillId="0" borderId="0" xfId="3" applyAlignment="1">
      <alignment vertical="center" wrapText="1"/>
    </xf>
    <xf numFmtId="0" fontId="5" fillId="0" borderId="1" xfId="3" applyBorder="1" applyAlignment="1">
      <alignment horizontal="center" vertical="center" wrapText="1"/>
    </xf>
    <xf numFmtId="0" fontId="5" fillId="0" borderId="1" xfId="3" applyBorder="1" applyAlignment="1">
      <alignment vertical="center" wrapText="1"/>
    </xf>
    <xf numFmtId="0" fontId="0" fillId="0" borderId="0" xfId="0" applyAlignment="1">
      <alignment vertical="center" wrapText="1"/>
    </xf>
    <xf numFmtId="0" fontId="4" fillId="3" borderId="1" xfId="2" quotePrefix="1" applyBorder="1" applyAlignment="1">
      <alignment vertical="center" wrapText="1"/>
    </xf>
    <xf numFmtId="0" fontId="5" fillId="0" borderId="1" xfId="3" applyBorder="1">
      <alignment vertical="center"/>
    </xf>
    <xf numFmtId="0" fontId="0" fillId="0" borderId="0" xfId="0" applyAlignment="1">
      <alignment horizontal="center" vertical="center"/>
    </xf>
    <xf numFmtId="0" fontId="1" fillId="2" borderId="1" xfId="1" applyBorder="1" applyAlignment="1">
      <alignment horizontal="center" vertical="center" wrapText="1"/>
    </xf>
    <xf numFmtId="0" fontId="4" fillId="3" borderId="1" xfId="2" quotePrefix="1" applyBorder="1">
      <alignment vertical="center"/>
    </xf>
    <xf numFmtId="0" fontId="3" fillId="2" borderId="3" xfId="1" applyFont="1" applyBorder="1" applyAlignment="1">
      <alignment horizontal="center" vertical="center"/>
    </xf>
    <xf numFmtId="0" fontId="0" fillId="0" borderId="3" xfId="0" applyBorder="1">
      <alignment vertical="center"/>
    </xf>
    <xf numFmtId="0" fontId="0" fillId="0" borderId="0" xfId="0" quotePrefix="1">
      <alignment vertical="center"/>
    </xf>
    <xf numFmtId="0" fontId="0" fillId="0" borderId="3" xfId="0" quotePrefix="1" applyBorder="1" applyAlignment="1">
      <alignment vertical="center" wrapText="1"/>
    </xf>
    <xf numFmtId="0" fontId="1" fillId="2" borderId="0" xfId="1" quotePrefix="1" applyBorder="1" applyAlignment="1">
      <alignment vertical="center" wrapText="1"/>
    </xf>
    <xf numFmtId="0" fontId="1" fillId="2" borderId="0" xfId="1" quotePrefix="1">
      <alignment vertical="center"/>
    </xf>
    <xf numFmtId="0" fontId="1" fillId="2" borderId="0" xfId="1" quotePrefix="1" applyAlignment="1">
      <alignment vertical="center" wrapText="1"/>
    </xf>
    <xf numFmtId="0" fontId="1" fillId="2" borderId="3" xfId="1" quotePrefix="1" applyBorder="1" applyAlignment="1">
      <alignment horizontal="left" vertical="center" wrapText="1"/>
    </xf>
    <xf numFmtId="0" fontId="0" fillId="0" borderId="0" xfId="0" quotePrefix="1" applyAlignment="1">
      <alignment vertical="center" wrapText="1"/>
    </xf>
    <xf numFmtId="0" fontId="4" fillId="3" borderId="1" xfId="2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7" fillId="4" borderId="5" xfId="4" applyAlignment="1">
      <alignment vertical="center" wrapText="1"/>
    </xf>
    <xf numFmtId="0" fontId="5" fillId="0" borderId="0" xfId="3">
      <alignment vertical="center"/>
    </xf>
    <xf numFmtId="0" fontId="9" fillId="0" borderId="1" xfId="0" quotePrefix="1" applyFont="1" applyBorder="1" applyAlignment="1">
      <alignment vertical="center" wrapText="1"/>
    </xf>
    <xf numFmtId="0" fontId="10" fillId="4" borderId="5" xfId="4" applyFont="1" applyAlignment="1">
      <alignment vertical="center" wrapText="1"/>
    </xf>
    <xf numFmtId="0" fontId="11" fillId="4" borderId="5" xfId="4" applyFont="1" applyAlignment="1">
      <alignment vertical="center" wrapText="1"/>
    </xf>
    <xf numFmtId="0" fontId="12" fillId="3" borderId="1" xfId="2" quotePrefix="1" applyFont="1" applyBorder="1" applyAlignment="1">
      <alignment vertical="center" wrapText="1"/>
    </xf>
    <xf numFmtId="0" fontId="8" fillId="0" borderId="1" xfId="0" quotePrefix="1" applyFont="1" applyBorder="1">
      <alignment vertical="center"/>
    </xf>
    <xf numFmtId="0" fontId="8" fillId="0" borderId="1" xfId="0" quotePrefix="1" applyFont="1" applyBorder="1" applyAlignment="1">
      <alignment vertical="center" wrapText="1"/>
    </xf>
    <xf numFmtId="0" fontId="13" fillId="4" borderId="5" xfId="4" applyFont="1" applyAlignment="1">
      <alignment vertical="center" wrapText="1"/>
    </xf>
    <xf numFmtId="0" fontId="0" fillId="0" borderId="4" xfId="0" applyBorder="1" applyAlignment="1">
      <alignment horizontal="left" vertical="center"/>
    </xf>
    <xf numFmtId="0" fontId="4" fillId="3" borderId="4" xfId="2" applyBorder="1" applyAlignment="1">
      <alignment vertical="center"/>
    </xf>
    <xf numFmtId="0" fontId="15" fillId="4" borderId="5" xfId="4" applyFont="1" applyAlignment="1">
      <alignment vertical="center" wrapText="1"/>
    </xf>
    <xf numFmtId="0" fontId="15" fillId="0" borderId="0" xfId="0" applyFont="1" applyAlignment="1">
      <alignment vertical="center" wrapText="1"/>
    </xf>
    <xf numFmtId="0" fontId="16" fillId="4" borderId="5" xfId="4" applyFont="1" applyAlignment="1">
      <alignment vertical="center" wrapText="1"/>
    </xf>
    <xf numFmtId="0" fontId="15" fillId="4" borderId="5" xfId="4" quotePrefix="1" applyFont="1" applyAlignment="1">
      <alignment vertical="center" wrapText="1"/>
    </xf>
    <xf numFmtId="0" fontId="18" fillId="2" borderId="1" xfId="1" applyFont="1" applyBorder="1" applyAlignment="1">
      <alignment horizontal="center" vertical="center"/>
    </xf>
    <xf numFmtId="0" fontId="18" fillId="2" borderId="1" xfId="1" applyFont="1" applyBorder="1" applyAlignment="1">
      <alignment horizontal="center" vertical="center" wrapText="1"/>
    </xf>
    <xf numFmtId="0" fontId="0" fillId="0" borderId="4" xfId="0" applyBorder="1">
      <alignment vertical="center"/>
    </xf>
    <xf numFmtId="0" fontId="19" fillId="0" borderId="1" xfId="0" applyFont="1" applyBorder="1" applyAlignment="1">
      <alignment vertical="center" wrapText="1"/>
    </xf>
    <xf numFmtId="0" fontId="1" fillId="2" borderId="0" xfId="1">
      <alignment vertical="center"/>
    </xf>
    <xf numFmtId="0" fontId="1" fillId="2" borderId="1" xfId="1" applyBorder="1" applyAlignment="1">
      <alignment vertical="center" wrapText="1"/>
    </xf>
    <xf numFmtId="0" fontId="1" fillId="2" borderId="4" xfId="1" applyBorder="1" applyAlignment="1">
      <alignment horizontal="left" vertical="center"/>
    </xf>
    <xf numFmtId="0" fontId="1" fillId="2" borderId="0" xfId="1" applyAlignment="1">
      <alignment vertical="center" wrapText="1"/>
    </xf>
    <xf numFmtId="49" fontId="0" fillId="0" borderId="0" xfId="0" applyNumberFormat="1" applyAlignment="1">
      <alignment horizontal="left" vertical="center" wrapText="1"/>
    </xf>
    <xf numFmtId="0" fontId="0" fillId="0" borderId="0" xfId="0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21" fillId="5" borderId="1" xfId="5" applyBorder="1">
      <alignment vertical="center"/>
    </xf>
    <xf numFmtId="0" fontId="21" fillId="5" borderId="1" xfId="5" applyBorder="1" applyAlignment="1">
      <alignment vertical="center" wrapText="1"/>
    </xf>
    <xf numFmtId="0" fontId="21" fillId="5" borderId="1" xfId="5" quotePrefix="1" applyBorder="1" applyAlignment="1">
      <alignment vertical="center" wrapText="1"/>
    </xf>
    <xf numFmtId="0" fontId="21" fillId="5" borderId="0" xfId="5">
      <alignment vertical="center"/>
    </xf>
    <xf numFmtId="49" fontId="1" fillId="2" borderId="1" xfId="1" applyNumberFormat="1" applyBorder="1" applyAlignment="1">
      <alignment horizontal="left" vertical="center" wrapText="1"/>
    </xf>
    <xf numFmtId="0" fontId="1" fillId="2" borderId="1" xfId="1" applyBorder="1" applyAlignment="1">
      <alignment horizontal="left" vertical="center" wrapText="1"/>
    </xf>
    <xf numFmtId="0" fontId="1" fillId="2" borderId="1" xfId="1" applyBorder="1" applyAlignment="1">
      <alignment wrapText="1"/>
    </xf>
    <xf numFmtId="0" fontId="1" fillId="2" borderId="1" xfId="1" applyBorder="1" applyAlignment="1"/>
    <xf numFmtId="0" fontId="21" fillId="5" borderId="6" xfId="5" applyBorder="1" applyAlignment="1">
      <alignment horizontal="center" vertical="center"/>
    </xf>
    <xf numFmtId="0" fontId="4" fillId="3" borderId="0" xfId="2">
      <alignment vertical="center"/>
    </xf>
    <xf numFmtId="0" fontId="4" fillId="3" borderId="0" xfId="2" applyAlignment="1">
      <alignment vertical="center" wrapText="1"/>
    </xf>
    <xf numFmtId="0" fontId="0" fillId="0" borderId="1" xfId="0" applyBorder="1" applyAlignment="1">
      <alignment horizontal="center" vertical="center" wrapText="1"/>
    </xf>
    <xf numFmtId="49" fontId="0" fillId="0" borderId="1" xfId="0" applyNumberFormat="1" applyBorder="1" applyAlignment="1">
      <alignment horizontal="left" vertical="center" wrapText="1"/>
    </xf>
    <xf numFmtId="0" fontId="5" fillId="0" borderId="1" xfId="3" applyBorder="1" applyAlignment="1">
      <alignment horizontal="left" vertical="center" wrapText="1"/>
    </xf>
    <xf numFmtId="0" fontId="5" fillId="0" borderId="7" xfId="3" applyBorder="1">
      <alignment vertical="center"/>
    </xf>
    <xf numFmtId="0" fontId="5" fillId="2" borderId="1" xfId="3" applyFill="1" applyBorder="1" applyAlignment="1"/>
    <xf numFmtId="0" fontId="21" fillId="5" borderId="1" xfId="5" applyBorder="1" applyAlignment="1">
      <alignment horizontal="center" vertical="center"/>
    </xf>
    <xf numFmtId="49" fontId="5" fillId="2" borderId="1" xfId="3" applyNumberFormat="1" applyFill="1" applyBorder="1" applyAlignment="1">
      <alignment horizontal="left" vertical="center" wrapText="1"/>
    </xf>
    <xf numFmtId="0" fontId="5" fillId="2" borderId="1" xfId="3" applyFill="1" applyBorder="1" applyAlignment="1">
      <alignment horizontal="center" vertical="center" wrapText="1"/>
    </xf>
    <xf numFmtId="0" fontId="5" fillId="2" borderId="1" xfId="3" applyFill="1" applyBorder="1" applyAlignment="1">
      <alignment horizontal="left" vertical="center"/>
    </xf>
    <xf numFmtId="0" fontId="21" fillId="5" borderId="1" xfId="5" applyBorder="1" applyAlignment="1">
      <alignment horizontal="center" vertical="center" wrapText="1"/>
    </xf>
    <xf numFmtId="49" fontId="21" fillId="5" borderId="1" xfId="5" applyNumberFormat="1" applyBorder="1" applyAlignment="1">
      <alignment horizontal="left" vertical="center" wrapText="1"/>
    </xf>
    <xf numFmtId="0" fontId="1" fillId="2" borderId="0" xfId="1" applyAlignment="1">
      <alignment horizontal="center" vertical="center"/>
    </xf>
    <xf numFmtId="0" fontId="6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/>
    </xf>
    <xf numFmtId="0" fontId="17" fillId="0" borderId="0" xfId="0" applyFont="1" applyAlignment="1">
      <alignment horizontal="center" vertical="center" wrapText="1"/>
    </xf>
    <xf numFmtId="0" fontId="1" fillId="2" borderId="0" xfId="1" applyAlignment="1">
      <alignment horizontal="center" vertical="center"/>
    </xf>
  </cellXfs>
  <cellStyles count="6">
    <cellStyle name="계산" xfId="4" builtinId="22"/>
    <cellStyle name="나쁨" xfId="5" builtinId="27"/>
    <cellStyle name="보통" xfId="2" builtinId="28"/>
    <cellStyle name="좋음" xfId="1" builtinId="26"/>
    <cellStyle name="표준" xfId="0" builtinId="0"/>
    <cellStyle name="하이퍼링크" xfId="3" builtinId="8"/>
  </cellStyles>
  <dxfs count="0"/>
  <tableStyles count="0" defaultTableStyle="TableStyleMedium2" defaultPivotStyle="PivotStyleLight16"/>
  <colors>
    <mruColors>
      <color rgb="FFCCFFCC"/>
      <color rgb="FF99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app.powerbi.com/view?r=eyJrIjoiNjViM2Y4NjktMjJmMC00Y2NjLWFmOWQtODQ0NjZkNWM1YzNmIiwidCI6ImY2MTBjMGI3LWJkMjQtNGIzOS04MTBiLTNkYzI4MGFmYjU5MCIsImMiOjh9" TargetMode="Externa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data.go.kr/data/15084885/openapi.do" TargetMode="External"/><Relationship Id="rId13" Type="http://schemas.openxmlformats.org/officeDocument/2006/relationships/hyperlink" Target="https://dw.nemc.or.kr/nemcMonitoring/mainmgr/Main.do" TargetMode="External"/><Relationship Id="rId18" Type="http://schemas.openxmlformats.org/officeDocument/2006/relationships/hyperlink" Target="https://opendata.hira.or.kr/op/opc/olapHumanResourceStatInfoTab1.do" TargetMode="External"/><Relationship Id="rId3" Type="http://schemas.openxmlformats.org/officeDocument/2006/relationships/hyperlink" Target="https://www.data.go.kr/data/15085951/fileData.do" TargetMode="External"/><Relationship Id="rId7" Type="http://schemas.openxmlformats.org/officeDocument/2006/relationships/hyperlink" Target="https://www.data.go.kr/data/15128046/fileData.do" TargetMode="External"/><Relationship Id="rId12" Type="http://schemas.openxmlformats.org/officeDocument/2006/relationships/hyperlink" Target="https://www.data.go.kr/data/15131145/fileData.do?recommendDataYn=Y" TargetMode="External"/><Relationship Id="rId17" Type="http://schemas.openxmlformats.org/officeDocument/2006/relationships/hyperlink" Target="https://www.hira.or.kr/bbsDummy.do?pgmid=HIRAA020045020000" TargetMode="External"/><Relationship Id="rId2" Type="http://schemas.openxmlformats.org/officeDocument/2006/relationships/hyperlink" Target="https://e-medis.nemc.or.kr/portal/stat/easyStatPage.do" TargetMode="External"/><Relationship Id="rId16" Type="http://schemas.openxmlformats.org/officeDocument/2006/relationships/hyperlink" Target="https://data.gg.go.kr/portal/data/service/selectServicePage.do?page=1&amp;rows=10&amp;sortColumn=&amp;sortDirection=&amp;infId=JE55Y365432IZR9CT9R926586107&amp;infSeq=2" TargetMode="External"/><Relationship Id="rId1" Type="http://schemas.openxmlformats.org/officeDocument/2006/relationships/hyperlink" Target="https://data.seoul.go.kr/dataList/OA-22299/F/1/datasetView.do" TargetMode="External"/><Relationship Id="rId6" Type="http://schemas.openxmlformats.org/officeDocument/2006/relationships/hyperlink" Target="https://www.data.go.kr/data/15000563/openapi.do" TargetMode="External"/><Relationship Id="rId11" Type="http://schemas.openxmlformats.org/officeDocument/2006/relationships/hyperlink" Target="https://trends.google.co.kr/trends/" TargetMode="External"/><Relationship Id="rId5" Type="http://schemas.openxmlformats.org/officeDocument/2006/relationships/hyperlink" Target="https://kosis.kr/openapi/Param/statisticsParameterData.do?method=getList&amp;apiKey=YjhkNjhiMTM1YTU0ZjJlZGEzNTU2MmYxYTMwZGM0YzY=&amp;itmId=00+&amp;objL1=ALL&amp;objL2=ALL&amp;objL3=&amp;objL4=&amp;objL5=&amp;objL6=&amp;objL7=&amp;objL8=&amp;format=json&amp;jsonVD=Y&amp;prdSe=Y&amp;newEstPrdCnt=3&amp;orgId=110&amp;tblId=DT_11001N_2013_A001" TargetMode="External"/><Relationship Id="rId15" Type="http://schemas.openxmlformats.org/officeDocument/2006/relationships/hyperlink" Target="https://data.ex.co.kr/openapi/basicinfo/openApiInfoM?apiId=0102&amp;serviceType=&amp;keyWord=&amp;searchDayFrom=undefined&amp;searchDayTo=undefined&amp;CATEGORY=TR&amp;GROUP_TR=&amp;sId=174" TargetMode="External"/><Relationship Id="rId10" Type="http://schemas.openxmlformats.org/officeDocument/2006/relationships/hyperlink" Target="https://portal.nemc.or.kr:444/medi_info/dashboards/dash_total_emer_org_popup_for_egen.do" TargetMode="External"/><Relationship Id="rId19" Type="http://schemas.openxmlformats.org/officeDocument/2006/relationships/printerSettings" Target="../printerSettings/printerSettings2.bin"/><Relationship Id="rId4" Type="http://schemas.openxmlformats.org/officeDocument/2006/relationships/hyperlink" Target="https://dportal.kdca.go.kr/pot/is/summaryEDW.do" TargetMode="External"/><Relationship Id="rId9" Type="http://schemas.openxmlformats.org/officeDocument/2006/relationships/hyperlink" Target="https://www.bigdata-119.kr/goods/goodsInfo?goods_id=202302000065" TargetMode="External"/><Relationship Id="rId14" Type="http://schemas.openxmlformats.org/officeDocument/2006/relationships/hyperlink" Target="https://dportal.kdca.go.kr/pot/is/summaryRgin.do" TargetMode="External"/></Relationships>
</file>

<file path=xl/worksheets/_rels/sheet4.xml.rels><?xml version="1.0" encoding="UTF-8" standalone="yes"?>
<Relationships xmlns="http://schemas.openxmlformats.org/package/2006/relationships"><Relationship Id="rId13" Type="http://schemas.openxmlformats.org/officeDocument/2006/relationships/hyperlink" Target="http://apis.data.go.kr/B090041/openapi/service/SpcdeInfoService/getRestDeInfo" TargetMode="External"/><Relationship Id="rId18" Type="http://schemas.openxmlformats.org/officeDocument/2006/relationships/hyperlink" Target="https://api.twitter.com/2/tweets/counts/recent" TargetMode="External"/><Relationship Id="rId26" Type="http://schemas.openxmlformats.org/officeDocument/2006/relationships/hyperlink" Target="https://sgisapi.kostat.go.kr/OpenAPI3/stats/population.json" TargetMode="External"/><Relationship Id="rId3" Type="http://schemas.openxmlformats.org/officeDocument/2006/relationships/hyperlink" Target="https://public.tableau.com/app/profile/kimjia/viz/_17530910022760/02ILI" TargetMode="External"/><Relationship Id="rId21" Type="http://schemas.openxmlformats.org/officeDocument/2006/relationships/hyperlink" Target="https://www.data.go.kr/data/15047819/openapi.do" TargetMode="External"/><Relationship Id="rId34" Type="http://schemas.openxmlformats.org/officeDocument/2006/relationships/hyperlink" Target="https://public.tableau.com/app/profile/kimjia/viz/_17530910022760/06LAB" TargetMode="External"/><Relationship Id="rId7" Type="http://schemas.openxmlformats.org/officeDocument/2006/relationships/hyperlink" Target="http://kosis.kr/openapi/Param/statisticsParameterData.do?method=getList&amp;itmId=00+&amp;objL1=ALL&amp;objL2=ALL&amp;objL3=&amp;objL4=&amp;objL5=&amp;objL6=&amp;objL7=&amp;objL8=&amp;format=json&amp;jsonVD=Y&amp;prdSe=Y&amp;newEstPrdCnt=3&amp;orgId=110&amp;tblId=DT_11001N_2013_A001" TargetMode="External"/><Relationship Id="rId12" Type="http://schemas.openxmlformats.org/officeDocument/2006/relationships/hyperlink" Target="https://www.data.go.kr/data/15012690/openapi.do" TargetMode="External"/><Relationship Id="rId17" Type="http://schemas.openxmlformats.org/officeDocument/2006/relationships/hyperlink" Target="https://openapi.naver.com/v1/datalab/search" TargetMode="External"/><Relationship Id="rId25" Type="http://schemas.openxmlformats.org/officeDocument/2006/relationships/hyperlink" Target="https://public.tableau.com/app/profile/kimjia/viz/_17530910022760/01" TargetMode="External"/><Relationship Id="rId33" Type="http://schemas.openxmlformats.org/officeDocument/2006/relationships/hyperlink" Target="https://www.who.int/tools/flunet" TargetMode="External"/><Relationship Id="rId2" Type="http://schemas.openxmlformats.org/officeDocument/2006/relationships/hyperlink" Target="http://kosis.kr/openapi/Param/statisticsParameterData.do?method=getList&amp;itmId=00+&amp;objL1=ALL&amp;objL2=ALL&amp;objL3=&amp;objL4=&amp;objL5=&amp;objL6=&amp;objL7=&amp;objL8=&amp;format=json&amp;jsonVD=Y&amp;prdSe=Y&amp;newEstPrdCnt=3&amp;orgId=110&amp;tblId=DT_11001N_2013_A001" TargetMode="External"/><Relationship Id="rId16" Type="http://schemas.openxmlformats.org/officeDocument/2006/relationships/hyperlink" Target="https://opendata.hira.or.kr/op/opc/olap4thDsInfoTab2.do" TargetMode="External"/><Relationship Id="rId20" Type="http://schemas.openxmlformats.org/officeDocument/2006/relationships/hyperlink" Target="https://public.tableau.com/app/profile/kimjia/viz/_17530910022760/08VAC" TargetMode="External"/><Relationship Id="rId29" Type="http://schemas.openxmlformats.org/officeDocument/2006/relationships/hyperlink" Target="https://public.tableau.com/app/profile/kimjia/viz/_17530910022760/03ARI" TargetMode="External"/><Relationship Id="rId1" Type="http://schemas.openxmlformats.org/officeDocument/2006/relationships/hyperlink" Target="https://opendata.hira.or.kr/op/opc/olapHumanResourceStatInfoTab1.do" TargetMode="External"/><Relationship Id="rId6" Type="http://schemas.openxmlformats.org/officeDocument/2006/relationships/hyperlink" Target="https://opendata.hira.or.kr/op/opc/olapHumanResourceStatInfoTab1.do" TargetMode="External"/><Relationship Id="rId11" Type="http://schemas.openxmlformats.org/officeDocument/2006/relationships/hyperlink" Target="http://apis.data.go.kr/B552657/ErmctInfoInqireService/getEmrrmRltmUsefulSckbdInfoInqire" TargetMode="External"/><Relationship Id="rId24" Type="http://schemas.openxmlformats.org/officeDocument/2006/relationships/hyperlink" Target="https://www.data.go.kr/data/15142108/fileData.do" TargetMode="External"/><Relationship Id="rId32" Type="http://schemas.openxmlformats.org/officeDocument/2006/relationships/hyperlink" Target="https://www.data.go.kr/data/15057210/openapi.do" TargetMode="External"/><Relationship Id="rId5" Type="http://schemas.openxmlformats.org/officeDocument/2006/relationships/hyperlink" Target="http://apis.data.go.kr/B552584/ArpltnInforInqireSvc/getCtprvnRltmMesureDnsty" TargetMode="External"/><Relationship Id="rId15" Type="http://schemas.openxmlformats.org/officeDocument/2006/relationships/hyperlink" Target="http://apis.data.go.kr/B551182/msupUserInfoService1.2/getAtcStp3AreaList1.2" TargetMode="External"/><Relationship Id="rId23" Type="http://schemas.openxmlformats.org/officeDocument/2006/relationships/hyperlink" Target="https://xmart-api-public.who.int/FLUMART/VIW_FNT?$format=csv" TargetMode="External"/><Relationship Id="rId28" Type="http://schemas.openxmlformats.org/officeDocument/2006/relationships/hyperlink" Target="https://dportal.kdca.go.kr/pot/is/st/fluON.do" TargetMode="External"/><Relationship Id="rId10" Type="http://schemas.openxmlformats.org/officeDocument/2006/relationships/hyperlink" Target="https://www.data.go.kr/data/15000563/openapi.do" TargetMode="External"/><Relationship Id="rId19" Type="http://schemas.openxmlformats.org/officeDocument/2006/relationships/hyperlink" Target="https://public.tableau.com/app/profile/kimjia/viz/_17530910022760/08VAC" TargetMode="External"/><Relationship Id="rId31" Type="http://schemas.openxmlformats.org/officeDocument/2006/relationships/hyperlink" Target="https://public.tableau.com/app/profile/kimjia/viz/_17530910022760/05_KRISS" TargetMode="External"/><Relationship Id="rId4" Type="http://schemas.openxmlformats.org/officeDocument/2006/relationships/hyperlink" Target="https://www.data.go.kr/data/15089429/fileData.do" TargetMode="External"/><Relationship Id="rId9" Type="http://schemas.openxmlformats.org/officeDocument/2006/relationships/hyperlink" Target="https://www.data.go.kr/data/15073861/openapi.do" TargetMode="External"/><Relationship Id="rId14" Type="http://schemas.openxmlformats.org/officeDocument/2006/relationships/hyperlink" Target="https://sgis.kostat.go.kr/developer/html/newOpenApi/api/dataApi/census.html" TargetMode="External"/><Relationship Id="rId22" Type="http://schemas.openxmlformats.org/officeDocument/2006/relationships/hyperlink" Target="https://opendata.hira.or.kr/op/opc/olap4thDsInfoTab2.do" TargetMode="External"/><Relationship Id="rId27" Type="http://schemas.openxmlformats.org/officeDocument/2006/relationships/hyperlink" Target="https://dportal.kdca.go.kr/pot/is/st/fluON.do" TargetMode="External"/><Relationship Id="rId30" Type="http://schemas.openxmlformats.org/officeDocument/2006/relationships/hyperlink" Target="https://public.tableau.com/app/profile/kimjia/viz/_17530910022760/04SARI" TargetMode="External"/><Relationship Id="rId35" Type="http://schemas.openxmlformats.org/officeDocument/2006/relationships/printerSettings" Target="../printerSettings/printerSettings3.bin"/><Relationship Id="rId8" Type="http://schemas.openxmlformats.org/officeDocument/2006/relationships/hyperlink" Target="https://www.data.go.kr/data/15089429/fileData.do" TargetMode="Externa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bigdata-119.kr/goods/goodsInfo?goods_mng_sn=366" TargetMode="External"/><Relationship Id="rId2" Type="http://schemas.openxmlformats.org/officeDocument/2006/relationships/hyperlink" Target="https://www.kdca.go.kr/board/board.es?mid=a20602010000&amp;bid=0034&amp;act=view&amp;list_no=712025" TargetMode="External"/><Relationship Id="rId1" Type="http://schemas.openxmlformats.org/officeDocument/2006/relationships/hyperlink" Target="https://www.hira.or.kr/bbsDummy.do?pgmid=HIRAA020045020000" TargetMode="External"/><Relationship Id="rId5" Type="http://schemas.openxmlformats.org/officeDocument/2006/relationships/printerSettings" Target="../printerSettings/printerSettings4.bin"/><Relationship Id="rId4" Type="http://schemas.openxmlformats.org/officeDocument/2006/relationships/hyperlink" Target="https://www.kdca.go.kr/board/board.es?mid=a20504000000&amp;bid=0014&amp;list_no=727575&amp;act=view" TargetMode="External"/></Relationships>
</file>

<file path=xl/worksheets/_rels/sheet6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kdca.go.kr/board/board.es?mid=a21106020000&amp;bid=0055" TargetMode="External"/><Relationship Id="rId3" Type="http://schemas.openxmlformats.org/officeDocument/2006/relationships/hyperlink" Target="https://dportal.kdca.go.kr/pot/is/st/influ.do" TargetMode="External"/><Relationship Id="rId7" Type="http://schemas.openxmlformats.org/officeDocument/2006/relationships/hyperlink" Target="https://sgis.kostat.go.kr/developer/html/newOpenApi/api/dataApi/census.html" TargetMode="External"/><Relationship Id="rId2" Type="http://schemas.openxmlformats.org/officeDocument/2006/relationships/hyperlink" Target="https://www.data.go.kr/data/15012690/openapi.do" TargetMode="External"/><Relationship Id="rId1" Type="http://schemas.openxmlformats.org/officeDocument/2006/relationships/hyperlink" Target="https://www.data.go.kr/data/15047819/openapi.do?utm_source=chatgpt.com" TargetMode="External"/><Relationship Id="rId6" Type="http://schemas.openxmlformats.org/officeDocument/2006/relationships/hyperlink" Target="https://opendata.hira.or.kr/op/opc/olap4thDsInfoTab1.do" TargetMode="External"/><Relationship Id="rId5" Type="http://schemas.openxmlformats.org/officeDocument/2006/relationships/hyperlink" Target="https://www.data.go.kr/data/15073861/openapi.do" TargetMode="External"/><Relationship Id="rId10" Type="http://schemas.openxmlformats.org/officeDocument/2006/relationships/printerSettings" Target="../printerSettings/printerSettings5.bin"/><Relationship Id="rId4" Type="http://schemas.openxmlformats.org/officeDocument/2006/relationships/hyperlink" Target="https://www.data.go.kr/data/15057210/openapi.do" TargetMode="External"/><Relationship Id="rId9" Type="http://schemas.openxmlformats.org/officeDocument/2006/relationships/hyperlink" Target="https://www.data.go.kr/data/15142108/fileData.do" TargetMode="Externa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9"/>
  <sheetViews>
    <sheetView workbookViewId="0">
      <selection activeCell="B17" sqref="B17"/>
    </sheetView>
  </sheetViews>
  <sheetFormatPr defaultColWidth="8.88671875" defaultRowHeight="16.7" x14ac:dyDescent="0.65"/>
  <cols>
    <col min="1" max="1" width="11" bestFit="1" customWidth="1"/>
    <col min="2" max="2" width="54.109375" customWidth="1"/>
  </cols>
  <sheetData>
    <row r="1" spans="1:2" x14ac:dyDescent="0.65">
      <c r="A1" s="4" t="s">
        <v>85</v>
      </c>
      <c r="B1" s="4" t="s">
        <v>84</v>
      </c>
    </row>
    <row r="2" spans="1:2" x14ac:dyDescent="0.65">
      <c r="A2" s="1" t="s">
        <v>86</v>
      </c>
      <c r="B2" s="5" t="s">
        <v>76</v>
      </c>
    </row>
    <row r="3" spans="1:2" ht="23.25" customHeight="1" x14ac:dyDescent="0.65">
      <c r="A3" s="1" t="s">
        <v>87</v>
      </c>
      <c r="B3" s="5" t="s">
        <v>77</v>
      </c>
    </row>
    <row r="4" spans="1:2" ht="23.25" customHeight="1" x14ac:dyDescent="0.65">
      <c r="A4" s="1" t="s">
        <v>88</v>
      </c>
      <c r="B4" s="5" t="s">
        <v>78</v>
      </c>
    </row>
    <row r="5" spans="1:2" ht="23.25" customHeight="1" x14ac:dyDescent="0.65">
      <c r="A5" s="1" t="s">
        <v>89</v>
      </c>
      <c r="B5" s="5" t="s">
        <v>79</v>
      </c>
    </row>
    <row r="6" spans="1:2" ht="23.25" customHeight="1" x14ac:dyDescent="0.65">
      <c r="A6" s="1" t="s">
        <v>90</v>
      </c>
      <c r="B6" s="5" t="s">
        <v>80</v>
      </c>
    </row>
    <row r="7" spans="1:2" ht="23.25" customHeight="1" x14ac:dyDescent="0.65">
      <c r="A7" s="1" t="s">
        <v>91</v>
      </c>
      <c r="B7" s="5" t="s">
        <v>81</v>
      </c>
    </row>
    <row r="8" spans="1:2" ht="23.25" customHeight="1" x14ac:dyDescent="0.65">
      <c r="A8" s="1" t="s">
        <v>92</v>
      </c>
      <c r="B8" s="5" t="s">
        <v>82</v>
      </c>
    </row>
    <row r="9" spans="1:2" ht="23.25" customHeight="1" x14ac:dyDescent="0.65">
      <c r="A9" s="1" t="s">
        <v>93</v>
      </c>
      <c r="B9" s="5" t="s">
        <v>83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50"/>
  <sheetViews>
    <sheetView zoomScale="74" zoomScaleNormal="100" workbookViewId="0">
      <pane xSplit="2" topLeftCell="C1" activePane="topRight" state="frozen"/>
      <selection pane="topRight" activeCell="G28" sqref="G28"/>
    </sheetView>
  </sheetViews>
  <sheetFormatPr defaultColWidth="8.88671875" defaultRowHeight="16.7" x14ac:dyDescent="0.65"/>
  <cols>
    <col min="2" max="2" width="40" style="6" customWidth="1"/>
    <col min="3" max="3" width="22.609375" bestFit="1" customWidth="1"/>
    <col min="4" max="4" width="22.609375" style="23" customWidth="1"/>
    <col min="5" max="5" width="22.609375" customWidth="1"/>
    <col min="6" max="6" width="51.38671875" customWidth="1"/>
    <col min="7" max="7" width="47.109375" customWidth="1"/>
    <col min="8" max="9" width="22.609375" style="23" customWidth="1"/>
    <col min="10" max="10" width="31" style="23" customWidth="1"/>
    <col min="11" max="11" width="63.109375" bestFit="1" customWidth="1"/>
    <col min="12" max="12" width="70.88671875" bestFit="1" customWidth="1"/>
    <col min="13" max="13" width="31.38671875" bestFit="1" customWidth="1"/>
    <col min="15" max="15" width="41.5" customWidth="1"/>
    <col min="16" max="16" width="68.609375" style="40" customWidth="1"/>
    <col min="17" max="17" width="89.88671875" style="48" customWidth="1"/>
    <col min="18" max="18" width="66.88671875" customWidth="1"/>
  </cols>
  <sheetData>
    <row r="1" spans="1:18" x14ac:dyDescent="0.65">
      <c r="Q1" s="48" t="s">
        <v>287</v>
      </c>
    </row>
    <row r="2" spans="1:18" ht="84" x14ac:dyDescent="0.65">
      <c r="P2" s="45" t="s">
        <v>250</v>
      </c>
      <c r="Q2" s="49" t="s">
        <v>288</v>
      </c>
    </row>
    <row r="3" spans="1:18" x14ac:dyDescent="0.65">
      <c r="A3" s="7" t="s">
        <v>36</v>
      </c>
      <c r="B3" s="7" t="s">
        <v>28</v>
      </c>
      <c r="C3" s="7" t="s">
        <v>29</v>
      </c>
      <c r="D3" s="7" t="s">
        <v>277</v>
      </c>
      <c r="E3" s="7" t="s">
        <v>278</v>
      </c>
      <c r="F3" s="7" t="s">
        <v>279</v>
      </c>
      <c r="G3" s="7" t="s">
        <v>280</v>
      </c>
      <c r="H3" s="7" t="s">
        <v>281</v>
      </c>
      <c r="I3" s="7" t="s">
        <v>282</v>
      </c>
      <c r="J3" s="7" t="s">
        <v>75</v>
      </c>
      <c r="K3" s="7" t="s">
        <v>30</v>
      </c>
      <c r="L3" s="7" t="s">
        <v>94</v>
      </c>
      <c r="M3" s="7" t="s">
        <v>197</v>
      </c>
      <c r="N3" s="26" t="s">
        <v>198</v>
      </c>
      <c r="O3" s="26" t="s">
        <v>202</v>
      </c>
      <c r="P3" s="41" t="s">
        <v>233</v>
      </c>
      <c r="Q3" s="50"/>
    </row>
    <row r="4" spans="1:18" ht="33.35" x14ac:dyDescent="0.65">
      <c r="A4" s="3" t="s">
        <v>37</v>
      </c>
      <c r="B4" s="5" t="s">
        <v>177</v>
      </c>
      <c r="C4" s="1" t="s">
        <v>178</v>
      </c>
      <c r="D4" s="2"/>
      <c r="E4" s="1" t="e">
        <f>VLOOKUP($D4,데이터소스!$A$3:$F$20,2, FALSE)</f>
        <v>#N/A</v>
      </c>
      <c r="F4" s="1" t="e">
        <f>VLOOKUP($D4,데이터소스!$A$3:$F$20,3, FALSE)</f>
        <v>#N/A</v>
      </c>
      <c r="G4" s="1" t="e">
        <f>VLOOKUP($D4,데이터소스!$A$3:$F$20,4, FALSE)</f>
        <v>#N/A</v>
      </c>
      <c r="H4" s="2" t="e">
        <f>VLOOKUP($D4,데이터소스!$A$3:$F$20,5, FALSE)</f>
        <v>#N/A</v>
      </c>
      <c r="I4" s="2" t="e">
        <f>VLOOKUP($D4,데이터소스!$A$3:$F$20,6, FALSE)</f>
        <v>#N/A</v>
      </c>
      <c r="J4" s="2"/>
      <c r="K4" s="1"/>
      <c r="L4" s="9" t="s">
        <v>176</v>
      </c>
      <c r="M4" s="1" t="s">
        <v>95</v>
      </c>
      <c r="N4" s="27" t="s">
        <v>199</v>
      </c>
      <c r="O4" s="28" t="s">
        <v>203</v>
      </c>
      <c r="P4" s="40" t="s">
        <v>234</v>
      </c>
      <c r="Q4" s="48" t="s">
        <v>289</v>
      </c>
    </row>
    <row r="5" spans="1:18" ht="83.35" x14ac:dyDescent="0.65">
      <c r="A5" s="3" t="s">
        <v>38</v>
      </c>
      <c r="B5" s="13" t="s">
        <v>0</v>
      </c>
      <c r="C5" s="4" t="s">
        <v>102</v>
      </c>
      <c r="D5" s="2" t="s">
        <v>260</v>
      </c>
      <c r="E5" s="1" t="str">
        <f>VLOOKUP($D5,데이터소스!$A$3:$F$20,2, FALSE)</f>
        <v>질병관리청(KDCA)</v>
      </c>
      <c r="F5" s="1" t="str">
        <f>VLOOKUP($D5,데이터소스!$A$3:$F$20,3, FALSE)</f>
        <v>감염병 포털-전수감시 감염병(기간별 통계)</v>
      </c>
      <c r="G5" s="1" t="str">
        <f>VLOOKUP($D5,데이터소스!$A$3:$F$20,4, FALSE)</f>
        <v>https://dportal.kdca.go.kr/pot/is/summaryEDW.do</v>
      </c>
      <c r="H5" s="2" t="str">
        <f>VLOOKUP($D5,데이터소스!$A$3:$F$20,5, FALSE)</f>
        <v>파일(xml, csv)</v>
      </c>
      <c r="I5" s="2" t="str">
        <f>VLOOKUP($D5,데이터소스!$A$3:$F$20,6, FALSE)</f>
        <v>년, 월, 주</v>
      </c>
      <c r="J5" s="14" t="s">
        <v>107</v>
      </c>
      <c r="K5" s="4" t="s">
        <v>180</v>
      </c>
      <c r="L5" s="16" t="s">
        <v>190</v>
      </c>
      <c r="M5" s="1" t="s">
        <v>95</v>
      </c>
      <c r="N5" t="s">
        <v>199</v>
      </c>
      <c r="O5" s="31" t="s">
        <v>203</v>
      </c>
      <c r="P5" s="40" t="s">
        <v>249</v>
      </c>
      <c r="Q5" s="51" t="s">
        <v>290</v>
      </c>
      <c r="R5" s="38" t="s">
        <v>235</v>
      </c>
    </row>
    <row r="6" spans="1:18" ht="83.35" x14ac:dyDescent="0.65">
      <c r="A6" s="3" t="s">
        <v>39</v>
      </c>
      <c r="B6" s="5" t="s">
        <v>242</v>
      </c>
      <c r="C6" s="1" t="s">
        <v>151</v>
      </c>
      <c r="D6" s="2"/>
      <c r="E6" s="1" t="e">
        <f>VLOOKUP($D6,데이터소스!$A$3:$F$20,2, FALSE)</f>
        <v>#N/A</v>
      </c>
      <c r="F6" s="1" t="e">
        <f>VLOOKUP($D6,데이터소스!$A$3:$F$20,3, FALSE)</f>
        <v>#N/A</v>
      </c>
      <c r="G6" s="1" t="e">
        <f>VLOOKUP($D6,데이터소스!$A$3:$F$20,4, FALSE)</f>
        <v>#N/A</v>
      </c>
      <c r="H6" s="2" t="e">
        <f>VLOOKUP($D6,데이터소스!$A$3:$F$20,5, FALSE)</f>
        <v>#N/A</v>
      </c>
      <c r="I6" s="2" t="e">
        <f>VLOOKUP($D6,데이터소스!$A$3:$F$20,6, FALSE)</f>
        <v>#N/A</v>
      </c>
      <c r="J6" s="2"/>
      <c r="K6" s="1"/>
      <c r="L6" s="9" t="s">
        <v>243</v>
      </c>
      <c r="M6" s="1" t="s">
        <v>95</v>
      </c>
      <c r="N6" s="27" t="s">
        <v>199</v>
      </c>
      <c r="O6" s="29" t="s">
        <v>205</v>
      </c>
      <c r="P6" s="40" t="s">
        <v>256</v>
      </c>
      <c r="Q6" s="51" t="s">
        <v>291</v>
      </c>
    </row>
    <row r="7" spans="1:18" ht="33.35" x14ac:dyDescent="0.65">
      <c r="A7" s="3" t="s">
        <v>40</v>
      </c>
      <c r="B7" s="13" t="s">
        <v>26</v>
      </c>
      <c r="C7" s="4" t="s">
        <v>98</v>
      </c>
      <c r="D7" s="2" t="s">
        <v>265</v>
      </c>
      <c r="E7" s="1" t="str">
        <f>VLOOKUP($D7,데이터소스!$A$3:$F$20,2, FALSE)</f>
        <v>공공데이터포털(data.go.kr)</v>
      </c>
      <c r="F7" s="1" t="str">
        <f>VLOOKUP($D7,데이터소스!$A$3:$F$20,3, FALSE)</f>
        <v>건강보험심사평가원_의료기관별 감염병 및 중증환자 치료시설 현황</v>
      </c>
      <c r="G7" s="1" t="str">
        <f>VLOOKUP($D7,데이터소스!$A$3:$F$20,4, FALSE)</f>
        <v>https://www.data.go.kr/data/15085951/fileData.do</v>
      </c>
      <c r="H7" s="2" t="str">
        <f>VLOOKUP($D7,데이터소스!$A$3:$F$20,5, FALSE)</f>
        <v>파일</v>
      </c>
      <c r="I7" s="2" t="str">
        <f>VLOOKUP($D7,데이터소스!$A$3:$F$20,6, FALSE)</f>
        <v>비정기</v>
      </c>
      <c r="J7" s="14" t="s">
        <v>105</v>
      </c>
      <c r="K7" s="4" t="s">
        <v>130</v>
      </c>
      <c r="L7" s="16" t="s">
        <v>166</v>
      </c>
      <c r="M7" s="1" t="s">
        <v>95</v>
      </c>
      <c r="N7" s="27" t="s">
        <v>199</v>
      </c>
      <c r="O7" s="31" t="s">
        <v>203</v>
      </c>
    </row>
    <row r="8" spans="1:18" ht="66.7" x14ac:dyDescent="0.65">
      <c r="A8" s="3" t="s">
        <v>41</v>
      </c>
      <c r="B8" s="13" t="s">
        <v>16</v>
      </c>
      <c r="C8" s="4" t="s">
        <v>98</v>
      </c>
      <c r="D8" s="2" t="s">
        <v>273</v>
      </c>
      <c r="E8" s="1" t="str">
        <f>VLOOKUP($D8,데이터소스!$A$3:$F$20,2, FALSE)</f>
        <v>한국도로공사</v>
      </c>
      <c r="F8" s="1" t="str">
        <f>VLOOKUP($D8,데이터소스!$A$3:$F$20,3, FALSE)</f>
        <v>실시간 전국 교통량</v>
      </c>
      <c r="G8" s="1" t="str">
        <f>VLOOKUP($D8,데이터소스!$A$3:$F$20,4, FALSE)</f>
        <v>https://data.ex.co.kr/openapi/basicinfo/openApiInfoM?apiId=0102&amp;serviceType=&amp;keyWord=&amp;searchDayFrom=undefined&amp;searchDayTo=undefined&amp;CATEGORY=TR&amp;GROUP_TR=&amp;sId=174</v>
      </c>
      <c r="H8" s="2" t="str">
        <f>VLOOKUP($D8,데이터소스!$A$3:$F$20,5, FALSE)</f>
        <v>OpenAPI</v>
      </c>
      <c r="I8" s="2" t="str">
        <f>VLOOKUP($D8,데이터소스!$A$3:$F$20,6, FALSE)</f>
        <v>1시간,15분,5분</v>
      </c>
      <c r="J8" s="14" t="s">
        <v>161</v>
      </c>
      <c r="K8" s="4" t="s">
        <v>163</v>
      </c>
      <c r="L8" s="15" t="s">
        <v>165</v>
      </c>
      <c r="M8" s="1" t="s">
        <v>95</v>
      </c>
      <c r="N8" s="27" t="s">
        <v>199</v>
      </c>
      <c r="O8" s="32" t="s">
        <v>204</v>
      </c>
    </row>
    <row r="9" spans="1:18" ht="17.25" customHeight="1" x14ac:dyDescent="0.65">
      <c r="A9" s="3" t="s">
        <v>42</v>
      </c>
      <c r="B9" s="5" t="s">
        <v>23</v>
      </c>
      <c r="C9" s="1"/>
      <c r="D9" s="2"/>
      <c r="E9" s="1" t="e">
        <f>VLOOKUP($D9,데이터소스!$A$3:$F$20,2, FALSE)</f>
        <v>#N/A</v>
      </c>
      <c r="F9" s="1" t="e">
        <f>VLOOKUP($D9,데이터소스!$A$3:$F$20,3, FALSE)</f>
        <v>#N/A</v>
      </c>
      <c r="G9" s="1" t="e">
        <f>VLOOKUP($D9,데이터소스!$A$3:$F$20,4, FALSE)</f>
        <v>#N/A</v>
      </c>
      <c r="H9" s="2" t="e">
        <f>VLOOKUP($D9,데이터소스!$A$3:$F$20,5, FALSE)</f>
        <v>#N/A</v>
      </c>
      <c r="I9" s="2" t="e">
        <f>VLOOKUP($D9,데이터소스!$A$3:$F$20,6, FALSE)</f>
        <v>#N/A</v>
      </c>
      <c r="J9" s="2"/>
      <c r="K9" s="1"/>
      <c r="L9" s="43" t="s">
        <v>171</v>
      </c>
      <c r="M9" s="1" t="s">
        <v>95</v>
      </c>
      <c r="N9" s="27" t="s">
        <v>199</v>
      </c>
      <c r="O9" s="28" t="s">
        <v>203</v>
      </c>
    </row>
    <row r="10" spans="1:18" ht="83.35" x14ac:dyDescent="0.65">
      <c r="A10" s="3" t="s">
        <v>43</v>
      </c>
      <c r="B10" s="10" t="s">
        <v>22</v>
      </c>
      <c r="C10" s="11" t="s">
        <v>98</v>
      </c>
      <c r="D10" s="2" t="s">
        <v>275</v>
      </c>
      <c r="E10" s="1" t="str">
        <f>VLOOKUP($D10,데이터소스!$A$3:$F$20,2, FALSE)</f>
        <v>경기데이터드림</v>
      </c>
      <c r="F10" s="1" t="str">
        <f>VLOOKUP($D10,데이터소스!$A$3:$F$20,3, FALSE)</f>
        <v>경기도 구급차 및 구급대원 현황</v>
      </c>
      <c r="G10" s="1" t="str">
        <f>VLOOKUP($D10,데이터소스!$A$3:$F$20,4, FALSE)</f>
        <v>https://data.gg.go.kr/portal/data/service/selectServicePage.do?page=1&amp;rows=10&amp;sortColumn=&amp;sortDirection=&amp;infId=JE55Y365432IZR9CT9R926586107&amp;infSeq=2</v>
      </c>
      <c r="H10" s="2" t="str">
        <f>VLOOKUP($D10,데이터소스!$A$3:$F$20,5, FALSE)</f>
        <v>OpenAPI</v>
      </c>
      <c r="I10" s="2" t="str">
        <f>VLOOKUP($D10,데이터소스!$A$3:$F$20,6, FALSE)</f>
        <v>년</v>
      </c>
      <c r="J10" s="12" t="s">
        <v>168</v>
      </c>
      <c r="K10" s="11" t="s">
        <v>167</v>
      </c>
      <c r="L10" s="21" t="s">
        <v>170</v>
      </c>
      <c r="M10" s="1" t="s">
        <v>95</v>
      </c>
      <c r="N10" s="27" t="s">
        <v>199</v>
      </c>
      <c r="O10" s="30" t="s">
        <v>206</v>
      </c>
    </row>
    <row r="11" spans="1:18" ht="83.35" x14ac:dyDescent="0.65">
      <c r="A11" s="3" t="s">
        <v>44</v>
      </c>
      <c r="B11" s="5" t="s">
        <v>15</v>
      </c>
      <c r="C11" s="1" t="s">
        <v>98</v>
      </c>
      <c r="D11" s="2"/>
      <c r="E11" s="1" t="e">
        <f>VLOOKUP($D11,데이터소스!$A$3:$F$20,2, FALSE)</f>
        <v>#N/A</v>
      </c>
      <c r="F11" s="1" t="e">
        <f>VLOOKUP($D11,데이터소스!$A$3:$F$20,3, FALSE)</f>
        <v>#N/A</v>
      </c>
      <c r="G11" s="1" t="e">
        <f>VLOOKUP($D11,데이터소스!$A$3:$F$20,4, FALSE)</f>
        <v>#N/A</v>
      </c>
      <c r="H11" s="2" t="e">
        <f>VLOOKUP($D11,데이터소스!$A$3:$F$20,5, FALSE)</f>
        <v>#N/A</v>
      </c>
      <c r="I11" s="2" t="e">
        <f>VLOOKUP($D11,데이터소스!$A$3:$F$20,6, FALSE)</f>
        <v>#N/A</v>
      </c>
      <c r="J11" s="2"/>
      <c r="K11" s="1"/>
      <c r="L11" s="39" t="s">
        <v>245</v>
      </c>
      <c r="M11" s="1" t="s">
        <v>95</v>
      </c>
      <c r="N11" s="27" t="s">
        <v>199</v>
      </c>
      <c r="O11" s="33" t="s">
        <v>207</v>
      </c>
    </row>
    <row r="12" spans="1:18" ht="66.7" x14ac:dyDescent="0.65">
      <c r="A12" s="3" t="s">
        <v>45</v>
      </c>
      <c r="B12" s="5" t="s">
        <v>7</v>
      </c>
      <c r="C12" s="1" t="s">
        <v>151</v>
      </c>
      <c r="D12" s="2"/>
      <c r="E12" s="1" t="e">
        <f>VLOOKUP($D12,데이터소스!$A$3:$F$20,2, FALSE)</f>
        <v>#N/A</v>
      </c>
      <c r="F12" s="1" t="e">
        <f>VLOOKUP($D12,데이터소스!$A$3:$F$20,3, FALSE)</f>
        <v>#N/A</v>
      </c>
      <c r="G12" s="1" t="e">
        <f>VLOOKUP($D12,데이터소스!$A$3:$F$20,4, FALSE)</f>
        <v>#N/A</v>
      </c>
      <c r="H12" s="2" t="e">
        <f>VLOOKUP($D12,데이터소스!$A$3:$F$20,5, FALSE)</f>
        <v>#N/A</v>
      </c>
      <c r="I12" s="2" t="e">
        <f>VLOOKUP($D12,데이터소스!$A$3:$F$20,6, FALSE)</f>
        <v>#N/A</v>
      </c>
      <c r="J12" s="2"/>
      <c r="K12" s="1"/>
      <c r="L12" s="39" t="s">
        <v>244</v>
      </c>
      <c r="M12" s="1" t="s">
        <v>95</v>
      </c>
      <c r="N12" s="27" t="s">
        <v>199</v>
      </c>
      <c r="O12" s="28" t="s">
        <v>203</v>
      </c>
      <c r="P12" s="40" t="s">
        <v>257</v>
      </c>
      <c r="Q12" s="51" t="s">
        <v>293</v>
      </c>
    </row>
    <row r="13" spans="1:18" ht="66.7" x14ac:dyDescent="0.65">
      <c r="A13" s="3" t="s">
        <v>46</v>
      </c>
      <c r="B13" s="5" t="s">
        <v>17</v>
      </c>
      <c r="C13" s="1" t="s">
        <v>151</v>
      </c>
      <c r="D13" s="2"/>
      <c r="E13" s="1" t="e">
        <f>VLOOKUP($D13,데이터소스!$A$3:$F$20,2, FALSE)</f>
        <v>#N/A</v>
      </c>
      <c r="F13" s="1" t="e">
        <f>VLOOKUP($D13,데이터소스!$A$3:$F$20,3, FALSE)</f>
        <v>#N/A</v>
      </c>
      <c r="G13" s="1" t="e">
        <f>VLOOKUP($D13,데이터소스!$A$3:$F$20,4, FALSE)</f>
        <v>#N/A</v>
      </c>
      <c r="H13" s="2" t="e">
        <f>VLOOKUP($D13,데이터소스!$A$3:$F$20,5, FALSE)</f>
        <v>#N/A</v>
      </c>
      <c r="I13" s="2" t="e">
        <f>VLOOKUP($D13,데이터소스!$A$3:$F$20,6, FALSE)</f>
        <v>#N/A</v>
      </c>
      <c r="J13" s="2"/>
      <c r="K13" s="1"/>
      <c r="L13" s="39" t="s">
        <v>244</v>
      </c>
      <c r="M13" s="1" t="s">
        <v>95</v>
      </c>
      <c r="N13" s="27" t="s">
        <v>199</v>
      </c>
      <c r="O13" s="28" t="s">
        <v>203</v>
      </c>
      <c r="P13" s="40" t="s">
        <v>257</v>
      </c>
      <c r="Q13" s="51" t="s">
        <v>292</v>
      </c>
    </row>
    <row r="14" spans="1:18" ht="116.7" x14ac:dyDescent="0.65">
      <c r="A14" s="3" t="s">
        <v>47</v>
      </c>
      <c r="B14" s="13" t="s">
        <v>6</v>
      </c>
      <c r="C14" s="4" t="s">
        <v>102</v>
      </c>
      <c r="D14" s="14"/>
      <c r="E14" s="4" t="e">
        <f>VLOOKUP($D14,데이터소스!$A$3:$F$20,2, FALSE)</f>
        <v>#N/A</v>
      </c>
      <c r="F14" s="4" t="e">
        <f>VLOOKUP($D14,데이터소스!$A$3:$F$20,3, FALSE)</f>
        <v>#N/A</v>
      </c>
      <c r="G14" s="4" t="e">
        <f>VLOOKUP($D14,데이터소스!$A$3:$F$20,4, FALSE)</f>
        <v>#N/A</v>
      </c>
      <c r="H14" s="14" t="e">
        <f>VLOOKUP($D14,데이터소스!$A$3:$F$20,5, FALSE)</f>
        <v>#N/A</v>
      </c>
      <c r="I14" s="14" t="e">
        <f>VLOOKUP($D14,데이터소스!$A$3:$F$20,6, FALSE)</f>
        <v>#N/A</v>
      </c>
      <c r="J14" s="14" t="s">
        <v>105</v>
      </c>
      <c r="K14" s="4" t="s">
        <v>172</v>
      </c>
      <c r="L14" s="16" t="s">
        <v>294</v>
      </c>
      <c r="M14" s="1" t="s">
        <v>95</v>
      </c>
      <c r="N14" s="27" t="s">
        <v>199</v>
      </c>
      <c r="O14" s="32" t="s">
        <v>208</v>
      </c>
      <c r="P14" s="40" t="s">
        <v>258</v>
      </c>
      <c r="Q14" s="51" t="s">
        <v>295</v>
      </c>
    </row>
    <row r="15" spans="1:18" ht="66.7" x14ac:dyDescent="0.65">
      <c r="A15" s="3" t="s">
        <v>48</v>
      </c>
      <c r="B15" s="5" t="s">
        <v>8</v>
      </c>
      <c r="C15" s="1"/>
      <c r="D15" s="2"/>
      <c r="E15" s="1" t="e">
        <f>VLOOKUP($D15,데이터소스!$A$3:$F$20,2, FALSE)</f>
        <v>#N/A</v>
      </c>
      <c r="F15" s="1" t="e">
        <f>VLOOKUP($D15,데이터소스!$A$3:$F$20,3, FALSE)</f>
        <v>#N/A</v>
      </c>
      <c r="G15" s="1" t="e">
        <f>VLOOKUP($D15,데이터소스!$A$3:$F$20,4, FALSE)</f>
        <v>#N/A</v>
      </c>
      <c r="H15" s="2" t="e">
        <f>VLOOKUP($D15,데이터소스!$A$3:$F$20,5, FALSE)</f>
        <v>#N/A</v>
      </c>
      <c r="I15" s="2" t="e">
        <f>VLOOKUP($D15,데이터소스!$A$3:$F$20,6, FALSE)</f>
        <v>#N/A</v>
      </c>
      <c r="J15" s="2"/>
      <c r="K15" s="1"/>
      <c r="L15" s="43" t="s">
        <v>184</v>
      </c>
      <c r="M15" s="1" t="s">
        <v>95</v>
      </c>
      <c r="N15" s="27" t="s">
        <v>199</v>
      </c>
      <c r="O15" s="39" t="s">
        <v>252</v>
      </c>
      <c r="P15" s="40" t="s">
        <v>259</v>
      </c>
      <c r="Q15" s="51" t="s">
        <v>292</v>
      </c>
    </row>
    <row r="16" spans="1:18" ht="33.35" x14ac:dyDescent="0.65">
      <c r="A16" s="3" t="s">
        <v>49</v>
      </c>
      <c r="B16" s="10" t="s">
        <v>10</v>
      </c>
      <c r="C16" s="11" t="s">
        <v>99</v>
      </c>
      <c r="D16" s="2" t="s">
        <v>263</v>
      </c>
      <c r="E16" s="1" t="str">
        <f>VLOOKUP($D16,데이터소스!$A$3:$F$20,2, FALSE)</f>
        <v>중앙응급의료센터(NEMC)</v>
      </c>
      <c r="F16" s="1" t="str">
        <f>VLOOKUP($D16,데이터소스!$A$3:$F$20,3, FALSE)</f>
        <v>응급의료모니터링시스템</v>
      </c>
      <c r="G16" s="1" t="str">
        <f>VLOOKUP($D16,데이터소스!$A$3:$F$20,4, FALSE)</f>
        <v>https://dw.nemc.or.kr/nemcMonitoring/mainmgr/Main.do</v>
      </c>
      <c r="H16" s="2" t="str">
        <f>VLOOKUP($D16,데이터소스!$A$3:$F$20,5, FALSE)</f>
        <v>포털</v>
      </c>
      <c r="I16" s="2" t="str">
        <f>VLOOKUP($D16,데이터소스!$A$3:$F$20,6, FALSE)</f>
        <v>60분</v>
      </c>
      <c r="J16" s="12" t="s">
        <v>186</v>
      </c>
      <c r="K16" s="11" t="s">
        <v>182</v>
      </c>
      <c r="L16" s="42" t="s">
        <v>246</v>
      </c>
      <c r="M16" s="1" t="s">
        <v>95</v>
      </c>
      <c r="N16" s="27" t="s">
        <v>199</v>
      </c>
      <c r="O16" s="28" t="s">
        <v>203</v>
      </c>
    </row>
    <row r="17" spans="1:18" ht="33.35" x14ac:dyDescent="0.65">
      <c r="A17" s="3" t="s">
        <v>50</v>
      </c>
      <c r="B17" s="10" t="s">
        <v>18</v>
      </c>
      <c r="C17" s="11" t="s">
        <v>99</v>
      </c>
      <c r="D17" s="2" t="s">
        <v>263</v>
      </c>
      <c r="E17" s="1" t="str">
        <f>VLOOKUP($D17,데이터소스!$A$3:$F$20,2, FALSE)</f>
        <v>중앙응급의료센터(NEMC)</v>
      </c>
      <c r="F17" s="1" t="str">
        <f>VLOOKUP($D17,데이터소스!$A$3:$F$20,3, FALSE)</f>
        <v>응급의료모니터링시스템</v>
      </c>
      <c r="G17" s="1" t="str">
        <f>VLOOKUP($D17,데이터소스!$A$3:$F$20,4, FALSE)</f>
        <v>https://dw.nemc.or.kr/nemcMonitoring/mainmgr/Main.do</v>
      </c>
      <c r="H17" s="2" t="str">
        <f>VLOOKUP($D17,데이터소스!$A$3:$F$20,5, FALSE)</f>
        <v>포털</v>
      </c>
      <c r="I17" s="2" t="str">
        <f>VLOOKUP($D17,데이터소스!$A$3:$F$20,6, FALSE)</f>
        <v>60분</v>
      </c>
      <c r="J17" s="12" t="s">
        <v>186</v>
      </c>
      <c r="K17" s="11" t="s">
        <v>182</v>
      </c>
      <c r="L17" s="21" t="s">
        <v>192</v>
      </c>
      <c r="M17" s="1" t="s">
        <v>96</v>
      </c>
      <c r="N17" s="27" t="s">
        <v>199</v>
      </c>
      <c r="O17" s="28" t="s">
        <v>203</v>
      </c>
    </row>
    <row r="18" spans="1:18" ht="33.35" x14ac:dyDescent="0.65">
      <c r="A18" s="3" t="s">
        <v>51</v>
      </c>
      <c r="B18" s="10" t="s">
        <v>3</v>
      </c>
      <c r="C18" s="11" t="s">
        <v>100</v>
      </c>
      <c r="D18" s="2"/>
      <c r="E18" s="1" t="e">
        <f>VLOOKUP($D18,데이터소스!$A$3:$F$20,2, FALSE)</f>
        <v>#N/A</v>
      </c>
      <c r="F18" s="1" t="e">
        <f>VLOOKUP($D18,데이터소스!$A$3:$F$20,3, FALSE)</f>
        <v>#N/A</v>
      </c>
      <c r="G18" s="1" t="e">
        <f>VLOOKUP($D18,데이터소스!$A$3:$F$20,4, FALSE)</f>
        <v>#N/A</v>
      </c>
      <c r="H18" s="2" t="e">
        <f>VLOOKUP($D18,데이터소스!$A$3:$F$20,5, FALSE)</f>
        <v>#N/A</v>
      </c>
      <c r="I18" s="2" t="e">
        <f>VLOOKUP($D18,데이터소스!$A$3:$F$20,6, FALSE)</f>
        <v>#N/A</v>
      </c>
      <c r="J18" s="12"/>
      <c r="K18" s="11" t="s">
        <v>152</v>
      </c>
      <c r="L18" s="21" t="s">
        <v>150</v>
      </c>
      <c r="M18" s="1" t="s">
        <v>96</v>
      </c>
      <c r="N18" s="27" t="s">
        <v>199</v>
      </c>
      <c r="O18" s="28" t="s">
        <v>203</v>
      </c>
    </row>
    <row r="19" spans="1:18" ht="17.25" customHeight="1" x14ac:dyDescent="0.65">
      <c r="A19" s="3" t="s">
        <v>52</v>
      </c>
      <c r="B19" s="5" t="s">
        <v>25</v>
      </c>
      <c r="C19" s="1" t="s">
        <v>151</v>
      </c>
      <c r="D19" s="2"/>
      <c r="E19" s="1" t="e">
        <f>VLOOKUP($D19,데이터소스!$A$3:$F$20,2, FALSE)</f>
        <v>#N/A</v>
      </c>
      <c r="F19" s="1" t="e">
        <f>VLOOKUP($D19,데이터소스!$A$3:$F$20,3, FALSE)</f>
        <v>#N/A</v>
      </c>
      <c r="G19" s="1" t="e">
        <f>VLOOKUP($D19,데이터소스!$A$3:$F$20,4, FALSE)</f>
        <v>#N/A</v>
      </c>
      <c r="H19" s="2" t="e">
        <f>VLOOKUP($D19,데이터소스!$A$3:$F$20,5, FALSE)</f>
        <v>#N/A</v>
      </c>
      <c r="I19" s="2" t="e">
        <f>VLOOKUP($D19,데이터소스!$A$3:$F$20,6, FALSE)</f>
        <v>#N/A</v>
      </c>
      <c r="J19" s="2"/>
      <c r="K19" s="1"/>
      <c r="L19" s="44" t="s">
        <v>187</v>
      </c>
      <c r="M19" s="1" t="s">
        <v>96</v>
      </c>
      <c r="N19" s="27" t="s">
        <v>199</v>
      </c>
      <c r="O19" s="28" t="s">
        <v>203</v>
      </c>
    </row>
    <row r="20" spans="1:18" ht="33.35" x14ac:dyDescent="0.65">
      <c r="A20" s="3" t="s">
        <v>53</v>
      </c>
      <c r="B20" s="10" t="s">
        <v>20</v>
      </c>
      <c r="C20" s="11" t="s">
        <v>99</v>
      </c>
      <c r="D20" s="2" t="s">
        <v>262</v>
      </c>
      <c r="E20" s="1" t="str">
        <f>VLOOKUP($D20,데이터소스!$A$3:$F$20,2, FALSE)</f>
        <v>중앙응급의료센터(NEMC)</v>
      </c>
      <c r="F20" s="1" t="str">
        <f>VLOOKUP($D20,데이터소스!$A$3:$F$20,3, FALSE)</f>
        <v>종합상황판</v>
      </c>
      <c r="G20" s="1" t="str">
        <f>VLOOKUP($D20,데이터소스!$A$3:$F$20,4, FALSE)</f>
        <v xml:space="preserve">https://portal.nemc.or.kr:444/medi_info/dashboards/dash_total_emer_org_popup_for_egen.do </v>
      </c>
      <c r="H20" s="2" t="str">
        <f>VLOOKUP($D20,데이터소스!$A$3:$F$20,5, FALSE)</f>
        <v>포털</v>
      </c>
      <c r="I20" s="2" t="str">
        <f>VLOOKUP($D20,데이터소스!$A$3:$F$20,6, FALSE)</f>
        <v>60분</v>
      </c>
      <c r="J20" s="12" t="s">
        <v>188</v>
      </c>
      <c r="K20" s="11" t="s">
        <v>149</v>
      </c>
      <c r="L20" s="21" t="s">
        <v>191</v>
      </c>
      <c r="M20" s="1" t="s">
        <v>96</v>
      </c>
      <c r="N20" s="27" t="s">
        <v>199</v>
      </c>
      <c r="O20" s="28" t="s">
        <v>203</v>
      </c>
    </row>
    <row r="21" spans="1:18" ht="50" x14ac:dyDescent="0.65">
      <c r="A21" s="3" t="s">
        <v>54</v>
      </c>
      <c r="B21" s="5" t="s">
        <v>5</v>
      </c>
      <c r="C21" s="1" t="s">
        <v>102</v>
      </c>
      <c r="D21" s="2"/>
      <c r="E21" s="1" t="e">
        <f>VLOOKUP($D21,데이터소스!$A$3:$F$20,2, FALSE)</f>
        <v>#N/A</v>
      </c>
      <c r="F21" s="1" t="e">
        <f>VLOOKUP($D21,데이터소스!$A$3:$F$20,3, FALSE)</f>
        <v>#N/A</v>
      </c>
      <c r="G21" s="1" t="e">
        <f>VLOOKUP($D21,데이터소스!$A$3:$F$20,4, FALSE)</f>
        <v>#N/A</v>
      </c>
      <c r="H21" s="2" t="e">
        <f>VLOOKUP($D21,데이터소스!$A$3:$F$20,5, FALSE)</f>
        <v>#N/A</v>
      </c>
      <c r="I21" s="2" t="e">
        <f>VLOOKUP($D21,데이터소스!$A$3:$F$20,6, FALSE)</f>
        <v>#N/A</v>
      </c>
      <c r="J21" s="2"/>
      <c r="K21" s="1"/>
      <c r="L21" s="43" t="s">
        <v>187</v>
      </c>
      <c r="M21" s="1" t="s">
        <v>96</v>
      </c>
      <c r="N21" s="27" t="s">
        <v>199</v>
      </c>
      <c r="O21" s="28" t="s">
        <v>203</v>
      </c>
      <c r="P21" s="40" t="s">
        <v>253</v>
      </c>
      <c r="Q21" s="51" t="s">
        <v>300</v>
      </c>
    </row>
    <row r="22" spans="1:18" ht="79.349999999999994" customHeight="1" x14ac:dyDescent="0.65">
      <c r="A22" s="3" t="s">
        <v>55</v>
      </c>
      <c r="B22" s="5" t="s">
        <v>13</v>
      </c>
      <c r="C22" s="1"/>
      <c r="D22" s="2"/>
      <c r="E22" s="1" t="e">
        <f>VLOOKUP($D22,데이터소스!$A$3:$F$20,2, FALSE)</f>
        <v>#N/A</v>
      </c>
      <c r="F22" s="1" t="e">
        <f>VLOOKUP($D22,데이터소스!$A$3:$F$20,3, FALSE)</f>
        <v>#N/A</v>
      </c>
      <c r="G22" s="1" t="e">
        <f>VLOOKUP($D22,데이터소스!$A$3:$F$20,4, FALSE)</f>
        <v>#N/A</v>
      </c>
      <c r="H22" s="2" t="e">
        <f>VLOOKUP($D22,데이터소스!$A$3:$F$20,5, FALSE)</f>
        <v>#N/A</v>
      </c>
      <c r="I22" s="2" t="e">
        <f>VLOOKUP($D22,데이터소스!$A$3:$F$20,6, FALSE)</f>
        <v>#N/A</v>
      </c>
      <c r="J22" s="2"/>
      <c r="K22" s="1"/>
      <c r="L22" s="43" t="s">
        <v>187</v>
      </c>
      <c r="M22" s="1" t="s">
        <v>96</v>
      </c>
      <c r="N22" s="27" t="s">
        <v>200</v>
      </c>
      <c r="O22" s="34"/>
    </row>
    <row r="23" spans="1:18" ht="33.35" x14ac:dyDescent="0.65">
      <c r="A23" s="3" t="s">
        <v>56</v>
      </c>
      <c r="B23" s="13" t="s">
        <v>2</v>
      </c>
      <c r="C23" s="4" t="s">
        <v>102</v>
      </c>
      <c r="D23" s="2" t="s">
        <v>283</v>
      </c>
      <c r="E23" s="1" t="str">
        <f>VLOOKUP($D23,데이터소스!$A$3:$F$20,2, FALSE)</f>
        <v>질병관리청(KDCA)</v>
      </c>
      <c r="F23" s="1" t="str">
        <f>VLOOKUP($D23,데이터소스!$A$3:$F$20,3, FALSE)</f>
        <v>감염병 포털-전수감시 감염병(기간별 통계)</v>
      </c>
      <c r="G23" s="1" t="str">
        <f>VLOOKUP($D23,데이터소스!$A$3:$F$20,4, FALSE)</f>
        <v>https://dportal.kdca.go.kr/pot/is/summaryEDW.do</v>
      </c>
      <c r="H23" s="2" t="str">
        <f>VLOOKUP($D23,데이터소스!$A$3:$F$20,5, FALSE)</f>
        <v>파일(xml, csv)</v>
      </c>
      <c r="I23" s="2" t="str">
        <f>VLOOKUP($D23,데이터소스!$A$3:$F$20,6, FALSE)</f>
        <v>년, 월, 주</v>
      </c>
      <c r="J23" s="14" t="s">
        <v>107</v>
      </c>
      <c r="K23" s="4" t="s">
        <v>122</v>
      </c>
      <c r="L23" s="16" t="s">
        <v>125</v>
      </c>
      <c r="M23" s="1" t="s">
        <v>96</v>
      </c>
      <c r="N23" s="27" t="s">
        <v>200</v>
      </c>
      <c r="O23" s="28" t="s">
        <v>203</v>
      </c>
      <c r="P23" s="40" t="s">
        <v>251</v>
      </c>
      <c r="Q23" s="51" t="s">
        <v>301</v>
      </c>
    </row>
    <row r="24" spans="1:18" ht="83.35" x14ac:dyDescent="0.65">
      <c r="A24" s="3" t="s">
        <v>57</v>
      </c>
      <c r="B24" s="13" t="s">
        <v>297</v>
      </c>
      <c r="C24" s="4" t="s">
        <v>299</v>
      </c>
      <c r="D24" s="2" t="s">
        <v>272</v>
      </c>
      <c r="E24" s="1" t="str">
        <f>VLOOKUP($D24,데이터소스!$A$3:$F$20,2, FALSE)</f>
        <v>구글</v>
      </c>
      <c r="F24" s="1" t="str">
        <f>VLOOKUP($D24,데이터소스!$A$3:$F$20,3, FALSE)</f>
        <v>구글 트렌드</v>
      </c>
      <c r="G24" s="1" t="str">
        <f>VLOOKUP($D24,데이터소스!$A$3:$F$20,4, FALSE)</f>
        <v xml:space="preserve">https://trends.google.co.kr/trends/ </v>
      </c>
      <c r="H24" s="2" t="str">
        <f>VLOOKUP($D24,데이터소스!$A$3:$F$20,5, FALSE)</f>
        <v>포털</v>
      </c>
      <c r="I24" s="2" t="str">
        <f>VLOOKUP($D24,데이터소스!$A$3:$F$20,6, FALSE)</f>
        <v>1시간,4시간,7일 등</v>
      </c>
      <c r="J24" s="14" t="s">
        <v>153</v>
      </c>
      <c r="K24" s="4" t="s">
        <v>155</v>
      </c>
      <c r="L24" s="16" t="s">
        <v>156</v>
      </c>
      <c r="M24" s="1" t="s">
        <v>96</v>
      </c>
      <c r="N24" s="27" t="s">
        <v>95</v>
      </c>
      <c r="O24" s="28" t="s">
        <v>203</v>
      </c>
      <c r="P24" s="40" t="s">
        <v>240</v>
      </c>
      <c r="Q24" s="51" t="s">
        <v>302</v>
      </c>
    </row>
    <row r="25" spans="1:18" ht="33.35" x14ac:dyDescent="0.65">
      <c r="A25" s="3" t="s">
        <v>58</v>
      </c>
      <c r="B25" s="13" t="s">
        <v>298</v>
      </c>
      <c r="C25" s="4" t="s">
        <v>100</v>
      </c>
      <c r="D25" s="2" t="s">
        <v>272</v>
      </c>
      <c r="E25" s="1" t="str">
        <f>VLOOKUP($D25,데이터소스!$A$3:$F$20,2, FALSE)</f>
        <v>구글</v>
      </c>
      <c r="F25" s="1" t="str">
        <f>VLOOKUP($D25,데이터소스!$A$3:$F$20,3, FALSE)</f>
        <v>구글 트렌드</v>
      </c>
      <c r="G25" s="1" t="str">
        <f>VLOOKUP($D25,데이터소스!$A$3:$F$20,4, FALSE)</f>
        <v xml:space="preserve">https://trends.google.co.kr/trends/ </v>
      </c>
      <c r="H25" s="2" t="str">
        <f>VLOOKUP($D25,데이터소스!$A$3:$F$20,5, FALSE)</f>
        <v>포털</v>
      </c>
      <c r="I25" s="2" t="str">
        <f>VLOOKUP($D25,데이터소스!$A$3:$F$20,6, FALSE)</f>
        <v>1시간,4시간,7일 등</v>
      </c>
      <c r="J25" s="14" t="s">
        <v>153</v>
      </c>
      <c r="K25" s="4" t="s">
        <v>155</v>
      </c>
      <c r="L25" s="16" t="s">
        <v>156</v>
      </c>
      <c r="M25" s="1" t="s">
        <v>96</v>
      </c>
      <c r="N25" s="27" t="s">
        <v>200</v>
      </c>
      <c r="O25" s="28" t="s">
        <v>203</v>
      </c>
      <c r="P25" s="40" t="s">
        <v>303</v>
      </c>
      <c r="Q25" s="51" t="s">
        <v>304</v>
      </c>
    </row>
    <row r="26" spans="1:18" x14ac:dyDescent="0.65">
      <c r="A26" s="3" t="s">
        <v>59</v>
      </c>
      <c r="B26" s="5" t="s">
        <v>27</v>
      </c>
      <c r="C26" s="1" t="s">
        <v>98</v>
      </c>
      <c r="D26" s="2"/>
      <c r="E26" s="1" t="e">
        <f>VLOOKUP($D26,데이터소스!$A$3:$F$20,2, FALSE)</f>
        <v>#N/A</v>
      </c>
      <c r="F26" s="1" t="e">
        <f>VLOOKUP($D26,데이터소스!$A$3:$F$20,3, FALSE)</f>
        <v>#N/A</v>
      </c>
      <c r="G26" s="1" t="e">
        <f>VLOOKUP($D26,데이터소스!$A$3:$F$20,4, FALSE)</f>
        <v>#N/A</v>
      </c>
      <c r="H26" s="2" t="e">
        <f>VLOOKUP($D26,데이터소스!$A$3:$F$20,5, FALSE)</f>
        <v>#N/A</v>
      </c>
      <c r="I26" s="2" t="e">
        <f>VLOOKUP($D26,데이터소스!$A$3:$F$20,6, FALSE)</f>
        <v>#N/A</v>
      </c>
      <c r="J26" s="2"/>
      <c r="K26" s="5"/>
      <c r="L26" s="44" t="s">
        <v>187</v>
      </c>
      <c r="M26" s="1" t="s">
        <v>96</v>
      </c>
      <c r="N26" s="27" t="s">
        <v>200</v>
      </c>
      <c r="O26" s="28" t="s">
        <v>203</v>
      </c>
    </row>
    <row r="27" spans="1:18" ht="33.35" x14ac:dyDescent="0.65">
      <c r="A27" s="3" t="s">
        <v>60</v>
      </c>
      <c r="B27" s="10" t="s">
        <v>24</v>
      </c>
      <c r="C27" s="11" t="s">
        <v>98</v>
      </c>
      <c r="D27" s="2" t="s">
        <v>263</v>
      </c>
      <c r="E27" s="1" t="str">
        <f>VLOOKUP($D27,데이터소스!$A$3:$F$20,2, FALSE)</f>
        <v>중앙응급의료센터(NEMC)</v>
      </c>
      <c r="F27" s="1" t="str">
        <f>VLOOKUP($D27,데이터소스!$A$3:$F$20,3, FALSE)</f>
        <v>응급의료모니터링시스템</v>
      </c>
      <c r="G27" s="1" t="str">
        <f>VLOOKUP($D27,데이터소스!$A$3:$F$20,4, FALSE)</f>
        <v>https://dw.nemc.or.kr/nemcMonitoring/mainmgr/Main.do</v>
      </c>
      <c r="H27" s="2" t="str">
        <f>VLOOKUP($D27,데이터소스!$A$3:$F$20,5, FALSE)</f>
        <v>포털</v>
      </c>
      <c r="I27" s="2" t="str">
        <f>VLOOKUP($D27,데이터소스!$A$3:$F$20,6, FALSE)</f>
        <v>60분</v>
      </c>
      <c r="J27" s="12" t="s">
        <v>188</v>
      </c>
      <c r="K27" s="10" t="s">
        <v>182</v>
      </c>
      <c r="L27" s="21" t="s">
        <v>193</v>
      </c>
      <c r="M27" s="1" t="s">
        <v>96</v>
      </c>
      <c r="N27" s="27" t="s">
        <v>200</v>
      </c>
      <c r="O27" s="28" t="s">
        <v>203</v>
      </c>
    </row>
    <row r="28" spans="1:18" ht="33.35" x14ac:dyDescent="0.65">
      <c r="A28" s="3" t="s">
        <v>61</v>
      </c>
      <c r="B28" s="13" t="s">
        <v>11</v>
      </c>
      <c r="C28" s="4" t="s">
        <v>98</v>
      </c>
      <c r="D28" s="2" t="s">
        <v>286</v>
      </c>
      <c r="E28" s="1" t="str">
        <f>VLOOKUP($D28,데이터소스!$A$3:$F$20,2, FALSE)</f>
        <v>건강보험심사평가원(HIRA)</v>
      </c>
      <c r="F28" s="1" t="str">
        <f>VLOOKUP($D28,데이터소스!$A$3:$F$20,3, FALSE)</f>
        <v>의료정보-연구,통계-통계자료실-건강보험통계연보</v>
      </c>
      <c r="G28" s="1" t="str">
        <f>VLOOKUP($D28,데이터소스!$A$3:$F$20,4, FALSE)</f>
        <v xml:space="preserve">https://www.hira.or.kr/bbsDummy.do?pgmid=HIRAA020045020000 </v>
      </c>
      <c r="H28" s="2" t="str">
        <f>VLOOKUP($D28,데이터소스!$A$3:$F$20,5, FALSE)</f>
        <v>파일</v>
      </c>
      <c r="I28" s="2" t="str">
        <f>VLOOKUP($D28,데이터소스!$A$3:$F$20,6, FALSE)</f>
        <v>년</v>
      </c>
      <c r="J28" s="14" t="s">
        <v>147</v>
      </c>
      <c r="K28" s="4" t="s">
        <v>157</v>
      </c>
      <c r="L28" s="16" t="s">
        <v>194</v>
      </c>
      <c r="M28" s="1" t="s">
        <v>96</v>
      </c>
      <c r="N28" s="27" t="s">
        <v>200</v>
      </c>
      <c r="O28" s="28" t="s">
        <v>203</v>
      </c>
    </row>
    <row r="29" spans="1:18" ht="50" x14ac:dyDescent="0.65">
      <c r="A29" s="3" t="s">
        <v>62</v>
      </c>
      <c r="B29" s="5" t="s">
        <v>305</v>
      </c>
      <c r="C29" s="11" t="s">
        <v>102</v>
      </c>
      <c r="D29" s="2" t="s">
        <v>269</v>
      </c>
      <c r="E29" s="1" t="str">
        <f>VLOOKUP($D29,데이터소스!$A$3:$F$20,2, FALSE)</f>
        <v>서울시 열린데이터광장</v>
      </c>
      <c r="F29" s="1" t="str">
        <f>VLOOKUP($D29,데이터소스!$A$3:$F$20,3, FALSE)</f>
        <v>수도권 생활이동 (연령별, 출발-도착지 기준)-내국인</v>
      </c>
      <c r="G29" s="1" t="str">
        <f>VLOOKUP($D29,데이터소스!$A$3:$F$20,4, FALSE)</f>
        <v>https://data.seoul.go.kr/dataList/OA-22299/F/1/datasetView.do</v>
      </c>
      <c r="H29" s="2" t="str">
        <f>VLOOKUP($D29,데이터소스!$A$3:$F$20,5, FALSE)</f>
        <v>OpenAPI</v>
      </c>
      <c r="I29" s="2" t="str">
        <f>VLOOKUP($D29,데이터소스!$A$3:$F$20,6, FALSE)</f>
        <v>일</v>
      </c>
      <c r="J29" s="12" t="s">
        <v>110</v>
      </c>
      <c r="K29" s="11" t="s">
        <v>108</v>
      </c>
      <c r="L29" s="21" t="s">
        <v>120</v>
      </c>
      <c r="M29" s="1" t="s">
        <v>97</v>
      </c>
      <c r="N29" s="27" t="s">
        <v>200</v>
      </c>
      <c r="O29" s="28" t="s">
        <v>203</v>
      </c>
      <c r="P29" s="40" t="s">
        <v>236</v>
      </c>
      <c r="Q29" s="51" t="s">
        <v>306</v>
      </c>
      <c r="R29" s="37" t="s">
        <v>241</v>
      </c>
    </row>
    <row r="30" spans="1:18" ht="50" x14ac:dyDescent="0.65">
      <c r="A30" s="3" t="s">
        <v>63</v>
      </c>
      <c r="B30" s="10" t="s">
        <v>21</v>
      </c>
      <c r="C30" s="11" t="s">
        <v>98</v>
      </c>
      <c r="D30" s="2" t="s">
        <v>263</v>
      </c>
      <c r="E30" s="1" t="str">
        <f>VLOOKUP($D30,데이터소스!$A$3:$F$20,2, FALSE)</f>
        <v>중앙응급의료센터(NEMC)</v>
      </c>
      <c r="F30" s="1" t="str">
        <f>VLOOKUP($D30,데이터소스!$A$3:$F$20,3, FALSE)</f>
        <v>응급의료모니터링시스템</v>
      </c>
      <c r="G30" s="1" t="str">
        <f>VLOOKUP($D30,데이터소스!$A$3:$F$20,4, FALSE)</f>
        <v>https://dw.nemc.or.kr/nemcMonitoring/mainmgr/Main.do</v>
      </c>
      <c r="H30" s="2" t="str">
        <f>VLOOKUP($D30,데이터소스!$A$3:$F$20,5, FALSE)</f>
        <v>포털</v>
      </c>
      <c r="I30" s="2" t="str">
        <f>VLOOKUP($D30,데이터소스!$A$3:$F$20,6, FALSE)</f>
        <v>60분</v>
      </c>
      <c r="J30" s="12" t="s">
        <v>188</v>
      </c>
      <c r="K30" s="10" t="s">
        <v>182</v>
      </c>
      <c r="L30" s="21" t="s">
        <v>138</v>
      </c>
      <c r="M30" s="1" t="s">
        <v>97</v>
      </c>
      <c r="N30" s="27" t="s">
        <v>200</v>
      </c>
      <c r="O30" s="28" t="s">
        <v>203</v>
      </c>
    </row>
    <row r="31" spans="1:18" ht="17.25" customHeight="1" x14ac:dyDescent="0.65">
      <c r="A31" s="3" t="s">
        <v>64</v>
      </c>
      <c r="B31" s="13" t="s">
        <v>14</v>
      </c>
      <c r="C31" s="4" t="s">
        <v>100</v>
      </c>
      <c r="D31" s="2" t="s">
        <v>261</v>
      </c>
      <c r="E31" s="1" t="str">
        <f>VLOOKUP($D31,데이터소스!$A$3:$F$20,2, FALSE)</f>
        <v>국가통계포털(KOSIS)</v>
      </c>
      <c r="F31" s="1" t="str">
        <f>VLOOKUP($D31,데이터소스!$A$3:$F$20,3, FALSE)</f>
        <v>성별 및 연령별 인구와 인구밀도</v>
      </c>
      <c r="G31" s="1" t="str">
        <f>VLOOKUP($D31,데이터소스!$A$3:$F$20,4, FALSE)</f>
        <v>https://kosis.kr/openapi/Param/statisticsParameterData.do?method=getList&amp;apiKey=YjhkNjhiMTM1YTU0ZjJlZGEzNTU2MmYxYTMwZGM0YzY=&amp;itmId=00+&amp;objL1=ALL&amp;objL2=ALL&amp;objL3=&amp;objL4=&amp;objL5=&amp;objL6=&amp;objL7=&amp;objL8=&amp;format=json&amp;jsonVD=Y&amp;prdSe=Y&amp;newEstPrdCnt=3&amp;orgId=110&amp;tblId=DT_11001N_2013_A001</v>
      </c>
      <c r="H31" s="2" t="str">
        <f>VLOOKUP($D31,데이터소스!$A$3:$F$20,5, FALSE)</f>
        <v>OpenAPI</v>
      </c>
      <c r="I31" s="2" t="str">
        <f>VLOOKUP($D31,데이터소스!$A$3:$F$20,6, FALSE)</f>
        <v>년</v>
      </c>
      <c r="J31" s="14" t="s">
        <v>103</v>
      </c>
      <c r="K31" s="4" t="s">
        <v>126</v>
      </c>
      <c r="L31" s="15"/>
      <c r="M31" s="1" t="s">
        <v>97</v>
      </c>
      <c r="N31" s="27" t="s">
        <v>200</v>
      </c>
      <c r="O31" s="28" t="s">
        <v>203</v>
      </c>
    </row>
    <row r="32" spans="1:18" ht="33.35" x14ac:dyDescent="0.65">
      <c r="A32" s="3" t="s">
        <v>65</v>
      </c>
      <c r="B32" s="5" t="s">
        <v>127</v>
      </c>
      <c r="C32" s="1" t="s">
        <v>102</v>
      </c>
      <c r="D32" s="2"/>
      <c r="E32" s="1" t="e">
        <f>VLOOKUP($D32,데이터소스!$A$3:$F$20,2, FALSE)</f>
        <v>#N/A</v>
      </c>
      <c r="F32" s="1" t="e">
        <f>VLOOKUP($D32,데이터소스!$A$3:$F$20,3, FALSE)</f>
        <v>#N/A</v>
      </c>
      <c r="G32" s="1" t="e">
        <f>VLOOKUP($D32,데이터소스!$A$3:$F$20,4, FALSE)</f>
        <v>#N/A</v>
      </c>
      <c r="H32" s="2" t="e">
        <f>VLOOKUP($D32,데이터소스!$A$3:$F$20,5, FALSE)</f>
        <v>#N/A</v>
      </c>
      <c r="I32" s="2" t="e">
        <f>VLOOKUP($D32,데이터소스!$A$3:$F$20,6, FALSE)</f>
        <v>#N/A</v>
      </c>
      <c r="J32" s="2"/>
      <c r="K32" s="1"/>
      <c r="L32" s="8" t="s">
        <v>128</v>
      </c>
      <c r="M32" s="1" t="s">
        <v>97</v>
      </c>
      <c r="N32" s="27" t="s">
        <v>200</v>
      </c>
      <c r="O32" s="28" t="s">
        <v>203</v>
      </c>
      <c r="P32" s="40" t="s">
        <v>254</v>
      </c>
      <c r="Q32" s="51" t="s">
        <v>307</v>
      </c>
    </row>
    <row r="33" spans="1:17" ht="17.25" customHeight="1" x14ac:dyDescent="0.65">
      <c r="A33" s="3" t="s">
        <v>66</v>
      </c>
      <c r="B33" s="5" t="s">
        <v>4</v>
      </c>
      <c r="C33" s="1" t="s">
        <v>102</v>
      </c>
      <c r="D33" s="2"/>
      <c r="E33" s="1" t="e">
        <f>VLOOKUP($D33,데이터소스!$A$3:$F$20,2, FALSE)</f>
        <v>#N/A</v>
      </c>
      <c r="F33" s="1" t="e">
        <f>VLOOKUP($D33,데이터소스!$A$3:$F$20,3, FALSE)</f>
        <v>#N/A</v>
      </c>
      <c r="G33" s="1" t="e">
        <f>VLOOKUP($D33,데이터소스!$A$3:$F$20,4, FALSE)</f>
        <v>#N/A</v>
      </c>
      <c r="H33" s="2" t="e">
        <f>VLOOKUP($D33,데이터소스!$A$3:$F$20,5, FALSE)</f>
        <v>#N/A</v>
      </c>
      <c r="I33" s="2" t="e">
        <f>VLOOKUP($D33,데이터소스!$A$3:$F$20,6, FALSE)</f>
        <v>#N/A</v>
      </c>
      <c r="J33" s="2"/>
      <c r="K33" s="1"/>
      <c r="L33" s="1"/>
      <c r="M33" s="1" t="s">
        <v>97</v>
      </c>
      <c r="N33" s="27" t="s">
        <v>200</v>
      </c>
      <c r="O33" s="28" t="s">
        <v>203</v>
      </c>
      <c r="P33" s="40" t="s">
        <v>237</v>
      </c>
      <c r="Q33" s="51" t="s">
        <v>308</v>
      </c>
    </row>
    <row r="34" spans="1:17" ht="17.25" customHeight="1" x14ac:dyDescent="0.65">
      <c r="A34" s="3" t="s">
        <v>67</v>
      </c>
      <c r="B34" s="13" t="s">
        <v>9</v>
      </c>
      <c r="C34" s="4" t="s">
        <v>102</v>
      </c>
      <c r="D34" s="2" t="s">
        <v>266</v>
      </c>
      <c r="E34" s="1" t="str">
        <f>VLOOKUP($D34,데이터소스!$A$3:$F$20,2, FALSE)</f>
        <v>공공데이터포털(data.go.kr)</v>
      </c>
      <c r="F34" s="1" t="str">
        <f>VLOOKUP($D34,데이터소스!$A$3:$F$20,3, FALSE)</f>
        <v>보건복지부_제1군 감염병 발생 수 및 사망자 수</v>
      </c>
      <c r="G34" s="1" t="str">
        <f>VLOOKUP($D34,데이터소스!$A$3:$F$20,4, FALSE)</f>
        <v>https://www.data.go.kr/data/15128046/fileData.do</v>
      </c>
      <c r="H34" s="2" t="str">
        <f>VLOOKUP($D34,데이터소스!$A$3:$F$20,5, FALSE)</f>
        <v>파일</v>
      </c>
      <c r="I34" s="2" t="str">
        <f>VLOOKUP($D34,데이터소스!$A$3:$F$20,6, FALSE)</f>
        <v>년</v>
      </c>
      <c r="J34" s="14" t="s">
        <v>105</v>
      </c>
      <c r="K34" s="4" t="s">
        <v>132</v>
      </c>
      <c r="L34" s="15" t="s">
        <v>134</v>
      </c>
      <c r="M34" s="1" t="s">
        <v>97</v>
      </c>
      <c r="N34" s="27" t="s">
        <v>200</v>
      </c>
      <c r="O34" s="28" t="s">
        <v>203</v>
      </c>
    </row>
    <row r="35" spans="1:17" ht="17.25" customHeight="1" x14ac:dyDescent="0.65">
      <c r="A35" s="3" t="s">
        <v>68</v>
      </c>
      <c r="B35" s="13" t="s">
        <v>1</v>
      </c>
      <c r="C35" s="4" t="s">
        <v>102</v>
      </c>
      <c r="D35" s="2" t="s">
        <v>284</v>
      </c>
      <c r="E35" s="1" t="str">
        <f>VLOOKUP($D35,데이터소스!$A$3:$F$20,2, FALSE)</f>
        <v>질병관리청(KDCA)</v>
      </c>
      <c r="F35" s="1" t="str">
        <f>VLOOKUP($D35,데이터소스!$A$3:$F$20,3, FALSE)</f>
        <v>지역별 감염병 발생현황(질병별 연도별 월별 기간별_ 통계)</v>
      </c>
      <c r="G35" s="1" t="str">
        <f>VLOOKUP($D35,데이터소스!$A$3:$F$20,4, FALSE)</f>
        <v>https://dportal.kdca.go.kr/pot/is/summaryRgin.do</v>
      </c>
      <c r="H35" s="2" t="str">
        <f>VLOOKUP($D35,데이터소스!$A$3:$F$20,5, FALSE)</f>
        <v>포털</v>
      </c>
      <c r="I35" s="2" t="str">
        <f>VLOOKUP($D35,데이터소스!$A$3:$F$20,6, FALSE)</f>
        <v>년</v>
      </c>
      <c r="J35" s="14" t="s">
        <v>107</v>
      </c>
      <c r="K35" s="13" t="s">
        <v>181</v>
      </c>
      <c r="L35" s="8" t="s">
        <v>129</v>
      </c>
      <c r="M35" s="1" t="s">
        <v>97</v>
      </c>
      <c r="N35" s="27" t="s">
        <v>200</v>
      </c>
      <c r="O35" s="28" t="s">
        <v>203</v>
      </c>
    </row>
    <row r="36" spans="1:17" ht="17.25" customHeight="1" x14ac:dyDescent="0.65">
      <c r="A36" s="3" t="s">
        <v>69</v>
      </c>
      <c r="B36" s="13" t="s">
        <v>19</v>
      </c>
      <c r="C36" s="4" t="s">
        <v>99</v>
      </c>
      <c r="D36" s="2" t="s">
        <v>264</v>
      </c>
      <c r="E36" s="1" t="str">
        <f>VLOOKUP($D36,데이터소스!$A$3:$F$20,2, FALSE)</f>
        <v>공공데이터포털(data.go.kr)</v>
      </c>
      <c r="F36" s="1" t="str">
        <f>VLOOKUP($D36,데이터소스!$A$3:$F$20,3, FALSE)</f>
        <v>전국 응급의료기관 정보 조회 서비스</v>
      </c>
      <c r="G36" s="1" t="str">
        <f>VLOOKUP($D36,데이터소스!$A$3:$F$20,4, FALSE)</f>
        <v>https://www.data.go.kr/data/15000563/openapi.do</v>
      </c>
      <c r="H36" s="2" t="str">
        <f>VLOOKUP($D36,데이터소스!$A$3:$F$20,5, FALSE)</f>
        <v>OpenAPI</v>
      </c>
      <c r="I36" s="2" t="str">
        <f>VLOOKUP($D36,데이터소스!$A$3:$F$20,6, FALSE)</f>
        <v>일</v>
      </c>
      <c r="J36" s="14" t="s">
        <v>105</v>
      </c>
      <c r="K36" s="4" t="s">
        <v>118</v>
      </c>
      <c r="L36" s="15" t="s">
        <v>104</v>
      </c>
      <c r="M36" s="1" t="s">
        <v>97</v>
      </c>
      <c r="N36" s="27" t="s">
        <v>200</v>
      </c>
      <c r="O36" s="28" t="s">
        <v>203</v>
      </c>
    </row>
    <row r="37" spans="1:17" ht="83.35" x14ac:dyDescent="0.65">
      <c r="A37" s="3" t="s">
        <v>70</v>
      </c>
      <c r="B37" s="10" t="s">
        <v>12</v>
      </c>
      <c r="C37" s="11" t="s">
        <v>101</v>
      </c>
      <c r="D37" s="2" t="s">
        <v>267</v>
      </c>
      <c r="E37" s="1" t="str">
        <f>VLOOKUP($D37,데이터소스!$A$3:$F$20,2, FALSE)</f>
        <v>공공데이터포털(data.go.kr)</v>
      </c>
      <c r="F37" s="1" t="str">
        <f>VLOOKUP($D37,데이터소스!$A$3:$F$20,3, FALSE)</f>
        <v>식품의약품안전처_감염병백신의약품 제품정보</v>
      </c>
      <c r="G37" s="1" t="str">
        <f>VLOOKUP($D37,데이터소스!$A$3:$F$20,4, FALSE)</f>
        <v>https://www.data.go.kr/data/15084885/openapi.do</v>
      </c>
      <c r="H37" s="2" t="str">
        <f>VLOOKUP($D37,데이터소스!$A$3:$F$20,5, FALSE)</f>
        <v>OpenAPI</v>
      </c>
      <c r="I37" s="2" t="str">
        <f>VLOOKUP($D37,데이터소스!$A$3:$F$20,6, FALSE)</f>
        <v>일</v>
      </c>
      <c r="J37" s="12" t="s">
        <v>105</v>
      </c>
      <c r="K37" s="10" t="s">
        <v>135</v>
      </c>
      <c r="L37" s="21" t="s">
        <v>195</v>
      </c>
      <c r="M37" s="1" t="s">
        <v>97</v>
      </c>
      <c r="N37" s="27" t="s">
        <v>200</v>
      </c>
      <c r="O37" s="28" t="s">
        <v>203</v>
      </c>
      <c r="P37" s="40" t="s">
        <v>255</v>
      </c>
      <c r="Q37" s="51" t="s">
        <v>309</v>
      </c>
    </row>
    <row r="38" spans="1:17" ht="33.35" x14ac:dyDescent="0.65">
      <c r="A38" s="3" t="s">
        <v>71</v>
      </c>
      <c r="B38" s="5" t="s">
        <v>121</v>
      </c>
      <c r="C38" s="1" t="s">
        <v>101</v>
      </c>
      <c r="D38" s="2"/>
      <c r="E38" s="1" t="e">
        <f>VLOOKUP($D38,데이터소스!$A$3:$F$20,2, FALSE)</f>
        <v>#N/A</v>
      </c>
      <c r="F38" s="1" t="e">
        <f>VLOOKUP($D38,데이터소스!$A$3:$F$20,3, FALSE)</f>
        <v>#N/A</v>
      </c>
      <c r="G38" s="1" t="e">
        <f>VLOOKUP($D38,데이터소스!$A$3:$F$20,4, FALSE)</f>
        <v>#N/A</v>
      </c>
      <c r="H38" s="2" t="e">
        <f>VLOOKUP($D38,데이터소스!$A$3:$F$20,5, FALSE)</f>
        <v>#N/A</v>
      </c>
      <c r="I38" s="2" t="e">
        <f>VLOOKUP($D38,데이터소스!$A$3:$F$20,6, FALSE)</f>
        <v>#N/A</v>
      </c>
      <c r="J38" s="2"/>
      <c r="K38" s="1"/>
      <c r="L38" s="9" t="s">
        <v>137</v>
      </c>
      <c r="M38" s="1" t="s">
        <v>97</v>
      </c>
      <c r="N38" s="27" t="s">
        <v>200</v>
      </c>
      <c r="O38" s="28" t="s">
        <v>203</v>
      </c>
      <c r="P38" s="40" t="s">
        <v>238</v>
      </c>
      <c r="Q38" s="51" t="s">
        <v>310</v>
      </c>
    </row>
    <row r="39" spans="1:17" ht="33.35" x14ac:dyDescent="0.65">
      <c r="A39" s="3" t="s">
        <v>71</v>
      </c>
      <c r="B39" s="13" t="s">
        <v>106</v>
      </c>
      <c r="C39" s="4" t="s">
        <v>102</v>
      </c>
      <c r="D39" s="2" t="s">
        <v>284</v>
      </c>
      <c r="E39" s="1" t="str">
        <f>VLOOKUP($D39,데이터소스!$A$3:$F$20,2, FALSE)</f>
        <v>질병관리청(KDCA)</v>
      </c>
      <c r="F39" s="1" t="str">
        <f>VLOOKUP($D39,데이터소스!$A$3:$F$20,3, FALSE)</f>
        <v>지역별 감염병 발생현황(질병별 연도별 월별 기간별_ 통계)</v>
      </c>
      <c r="G39" s="1" t="str">
        <f>VLOOKUP($D39,데이터소스!$A$3:$F$20,4, FALSE)</f>
        <v>https://dportal.kdca.go.kr/pot/is/summaryRgin.do</v>
      </c>
      <c r="H39" s="2" t="str">
        <f>VLOOKUP($D39,데이터소스!$A$3:$F$20,5, FALSE)</f>
        <v>포털</v>
      </c>
      <c r="I39" s="2" t="str">
        <f>VLOOKUP($D39,데이터소스!$A$3:$F$20,6, FALSE)</f>
        <v>년</v>
      </c>
      <c r="J39" s="14" t="s">
        <v>107</v>
      </c>
      <c r="K39" s="4" t="s">
        <v>122</v>
      </c>
      <c r="L39" s="16" t="s">
        <v>125</v>
      </c>
      <c r="M39" s="1" t="s">
        <v>97</v>
      </c>
      <c r="N39" s="27" t="s">
        <v>200</v>
      </c>
      <c r="O39" s="28" t="s">
        <v>203</v>
      </c>
      <c r="P39" s="40" t="s">
        <v>239</v>
      </c>
      <c r="Q39" s="51" t="s">
        <v>311</v>
      </c>
    </row>
    <row r="40" spans="1:17" ht="50" x14ac:dyDescent="0.65">
      <c r="A40" s="3" t="s">
        <v>72</v>
      </c>
      <c r="B40" s="10" t="s">
        <v>144</v>
      </c>
      <c r="C40" s="11" t="s">
        <v>98</v>
      </c>
      <c r="D40" s="2" t="s">
        <v>263</v>
      </c>
      <c r="E40" s="1" t="str">
        <f>VLOOKUP($D40,데이터소스!$A$3:$F$20,2, FALSE)</f>
        <v>중앙응급의료센터(NEMC)</v>
      </c>
      <c r="F40" s="1" t="str">
        <f>VLOOKUP($D40,데이터소스!$A$3:$F$20,3, FALSE)</f>
        <v>응급의료모니터링시스템</v>
      </c>
      <c r="G40" s="1" t="str">
        <f>VLOOKUP($D40,데이터소스!$A$3:$F$20,4, FALSE)</f>
        <v>https://dw.nemc.or.kr/nemcMonitoring/mainmgr/Main.do</v>
      </c>
      <c r="H40" s="2" t="str">
        <f>VLOOKUP($D40,데이터소스!$A$3:$F$20,5, FALSE)</f>
        <v>포털</v>
      </c>
      <c r="I40" s="2" t="str">
        <f>VLOOKUP($D40,데이터소스!$A$3:$F$20,6, FALSE)</f>
        <v>60분</v>
      </c>
      <c r="J40" s="12" t="s">
        <v>188</v>
      </c>
      <c r="K40" s="10" t="s">
        <v>175</v>
      </c>
      <c r="L40" s="42" t="s">
        <v>247</v>
      </c>
      <c r="M40" s="1" t="s">
        <v>97</v>
      </c>
      <c r="N40" s="27" t="s">
        <v>200</v>
      </c>
      <c r="O40" s="28" t="s">
        <v>203</v>
      </c>
    </row>
    <row r="41" spans="1:17" ht="83.35" x14ac:dyDescent="0.65">
      <c r="A41" s="3" t="s">
        <v>73</v>
      </c>
      <c r="B41" s="47" t="s">
        <v>145</v>
      </c>
      <c r="C41" s="11" t="s">
        <v>98</v>
      </c>
      <c r="D41" s="2" t="s">
        <v>263</v>
      </c>
      <c r="E41" s="1" t="str">
        <f>VLOOKUP($D41,데이터소스!$A$3:$F$20,2, FALSE)</f>
        <v>중앙응급의료센터(NEMC)</v>
      </c>
      <c r="F41" s="1" t="str">
        <f>VLOOKUP($D41,데이터소스!$A$3:$F$20,3, FALSE)</f>
        <v>응급의료모니터링시스템</v>
      </c>
      <c r="G41" s="1" t="str">
        <f>VLOOKUP($D41,데이터소스!$A$3:$F$20,4, FALSE)</f>
        <v>https://dw.nemc.or.kr/nemcMonitoring/mainmgr/Main.do</v>
      </c>
      <c r="H41" s="2" t="str">
        <f>VLOOKUP($D41,데이터소스!$A$3:$F$20,5, FALSE)</f>
        <v>포털</v>
      </c>
      <c r="I41" s="2" t="str">
        <f>VLOOKUP($D41,데이터소스!$A$3:$F$20,6, FALSE)</f>
        <v>60분</v>
      </c>
      <c r="J41" s="12" t="s">
        <v>188</v>
      </c>
      <c r="K41" s="10" t="s">
        <v>175</v>
      </c>
      <c r="L41" s="42" t="s">
        <v>248</v>
      </c>
      <c r="M41" s="1" t="s">
        <v>97</v>
      </c>
      <c r="N41" s="27" t="s">
        <v>200</v>
      </c>
      <c r="O41" s="28" t="s">
        <v>203</v>
      </c>
    </row>
    <row r="42" spans="1:17" ht="17.25" customHeight="1" x14ac:dyDescent="0.65">
      <c r="A42" s="3" t="s">
        <v>296</v>
      </c>
      <c r="B42" s="47" t="s">
        <v>145</v>
      </c>
      <c r="C42" s="11" t="s">
        <v>98</v>
      </c>
      <c r="D42" s="2" t="s">
        <v>271</v>
      </c>
      <c r="E42" s="1" t="str">
        <f>VLOOKUP($D42,데이터소스!$A$3:$F$20,2, FALSE)</f>
        <v>소방안전 빅데이터 플랫폼</v>
      </c>
      <c r="F42" s="1" t="str">
        <f>VLOOKUP($D42,데이터소스!$A$3:$F$20,3, FALSE)</f>
        <v>질병 구급출동 현황</v>
      </c>
      <c r="G42" s="1" t="str">
        <f>VLOOKUP($D42,데이터소스!$A$3:$F$20,4, FALSE)</f>
        <v>https://www.bigdata-119.kr/goods/goodsInfo?goods_id=202302000065</v>
      </c>
      <c r="H42" s="2">
        <f>VLOOKUP($D42,데이터소스!$A$3:$F$20,5, FALSE)</f>
        <v>0</v>
      </c>
      <c r="I42" s="2" t="str">
        <f>VLOOKUP($D42,데이터소스!$A$3:$F$20,6, FALSE)</f>
        <v>비정기</v>
      </c>
      <c r="J42" s="12" t="s">
        <v>140</v>
      </c>
      <c r="K42" s="10" t="s">
        <v>142</v>
      </c>
      <c r="L42" s="25" t="s">
        <v>139</v>
      </c>
      <c r="N42" s="27" t="s">
        <v>200</v>
      </c>
      <c r="O42" s="28" t="s">
        <v>203</v>
      </c>
    </row>
    <row r="45" spans="1:17" x14ac:dyDescent="0.65">
      <c r="B45" s="86" t="s">
        <v>196</v>
      </c>
      <c r="C45" s="87"/>
      <c r="D45" s="87"/>
      <c r="E45" s="87"/>
      <c r="F45" s="87"/>
      <c r="G45" s="87"/>
      <c r="H45" s="87"/>
      <c r="I45" s="87"/>
      <c r="J45" s="87"/>
    </row>
    <row r="46" spans="1:17" x14ac:dyDescent="0.65">
      <c r="B46" s="87"/>
      <c r="C46" s="87"/>
      <c r="D46" s="87"/>
      <c r="E46" s="87"/>
      <c r="F46" s="87"/>
      <c r="G46" s="87"/>
      <c r="H46" s="87"/>
      <c r="I46" s="87"/>
      <c r="J46" s="87"/>
    </row>
    <row r="47" spans="1:17" x14ac:dyDescent="0.65">
      <c r="B47" s="87"/>
      <c r="C47" s="87"/>
      <c r="D47" s="87"/>
      <c r="E47" s="87"/>
      <c r="F47" s="87"/>
      <c r="G47" s="87"/>
      <c r="H47" s="87"/>
      <c r="I47" s="87"/>
      <c r="J47" s="87"/>
    </row>
    <row r="48" spans="1:17" x14ac:dyDescent="0.65">
      <c r="B48" s="87"/>
      <c r="C48" s="87"/>
      <c r="D48" s="87"/>
      <c r="E48" s="87"/>
      <c r="F48" s="87"/>
      <c r="G48" s="87"/>
      <c r="H48" s="87"/>
      <c r="I48" s="87"/>
      <c r="J48" s="87"/>
    </row>
    <row r="49" spans="2:10" x14ac:dyDescent="0.65">
      <c r="B49" s="87"/>
      <c r="C49" s="87"/>
      <c r="D49" s="87"/>
      <c r="E49" s="87"/>
      <c r="F49" s="87"/>
      <c r="G49" s="87"/>
      <c r="H49" s="87"/>
      <c r="I49" s="87"/>
      <c r="J49" s="87"/>
    </row>
    <row r="50" spans="2:10" x14ac:dyDescent="0.65">
      <c r="B50" s="87"/>
      <c r="C50" s="87"/>
      <c r="D50" s="87"/>
      <c r="E50" s="87"/>
      <c r="F50" s="87"/>
      <c r="G50" s="87"/>
      <c r="H50" s="87"/>
      <c r="I50" s="87"/>
      <c r="J50" s="87"/>
    </row>
  </sheetData>
  <sortState xmlns:xlrd2="http://schemas.microsoft.com/office/spreadsheetml/2017/richdata2" ref="B6:B42">
    <sortCondition ref="B6:B42"/>
  </sortState>
  <mergeCells count="1">
    <mergeCell ref="B45:J50"/>
  </mergeCells>
  <phoneticPr fontId="2" type="noConversion"/>
  <hyperlinks>
    <hyperlink ref="R5" r:id="rId1" xr:uid="{00000000-0004-0000-0100-000000000000}"/>
  </hyperlinks>
  <pageMargins left="0.7" right="0.7" top="0.75" bottom="0.75" header="0.3" footer="0.3"/>
  <pageSetup paperSize="9" orientation="portrait" r:id="rId2"/>
  <extLst>
    <ext xmlns:x14="http://schemas.microsoft.com/office/spreadsheetml/2009/9/main" uri="{CCE6A557-97BC-4b89-ADB6-D9C93CAAB3DF}">
      <x14:dataValidations xmlns:xm="http://schemas.microsoft.com/office/excel/2006/main" disablePrompts="1" count="2">
        <x14:dataValidation type="list" allowBlank="1" showInputMessage="1" showErrorMessage="1" xr:uid="{00000000-0002-0000-0100-000000000000}">
          <x14:formula1>
            <xm:f>'데이터 유형'!$B$2:$B$9</xm:f>
          </x14:formula1>
          <xm:sqref>C4:C42</xm:sqref>
        </x14:dataValidation>
        <x14:dataValidation type="list" allowBlank="1" showInputMessage="1" showErrorMessage="1" xr:uid="{00000000-0002-0000-0100-000001000000}">
          <x14:formula1>
            <xm:f>데이터소스!$B$3:$B$20</xm:f>
          </x14:formula1>
          <xm:sqref>J4:J42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H20"/>
  <sheetViews>
    <sheetView zoomScale="70" zoomScaleNormal="70" workbookViewId="0">
      <selection activeCell="D4" sqref="D4"/>
    </sheetView>
  </sheetViews>
  <sheetFormatPr defaultColWidth="8.88671875" defaultRowHeight="16.7" x14ac:dyDescent="0.65"/>
  <cols>
    <col min="1" max="1" width="13.38671875" customWidth="1"/>
    <col min="2" max="2" width="36.109375" style="6" bestFit="1" customWidth="1"/>
    <col min="3" max="3" width="63.109375" style="6" bestFit="1" customWidth="1"/>
    <col min="4" max="4" width="59.109375" style="20" bestFit="1" customWidth="1"/>
    <col min="5" max="5" width="25.109375" customWidth="1"/>
    <col min="6" max="6" width="17.5" customWidth="1"/>
    <col min="7" max="7" width="36.88671875" style="20" customWidth="1"/>
    <col min="8" max="8" width="35.21875" customWidth="1"/>
  </cols>
  <sheetData>
    <row r="2" spans="1:8" x14ac:dyDescent="0.65">
      <c r="A2" s="14" t="s">
        <v>74</v>
      </c>
      <c r="B2" s="13" t="s">
        <v>276</v>
      </c>
      <c r="C2" s="13" t="s">
        <v>30</v>
      </c>
      <c r="D2" s="24" t="s">
        <v>31</v>
      </c>
      <c r="E2" s="14" t="s">
        <v>115</v>
      </c>
      <c r="F2" s="14" t="s">
        <v>201</v>
      </c>
      <c r="G2" s="24" t="s">
        <v>230</v>
      </c>
      <c r="H2" s="24" t="s">
        <v>312</v>
      </c>
    </row>
    <row r="3" spans="1:8" ht="33.35" x14ac:dyDescent="0.65">
      <c r="A3" s="2" t="s">
        <v>260</v>
      </c>
      <c r="B3" s="46" t="s">
        <v>32</v>
      </c>
      <c r="C3" s="5" t="s">
        <v>122</v>
      </c>
      <c r="D3" s="17" t="s">
        <v>123</v>
      </c>
      <c r="E3" s="1" t="s">
        <v>179</v>
      </c>
      <c r="F3" s="1" t="s">
        <v>220</v>
      </c>
      <c r="G3" s="35" t="s">
        <v>231</v>
      </c>
      <c r="H3" s="35" t="s">
        <v>314</v>
      </c>
    </row>
    <row r="4" spans="1:8" x14ac:dyDescent="0.65">
      <c r="A4" s="2" t="s">
        <v>284</v>
      </c>
      <c r="B4" s="46" t="s">
        <v>32</v>
      </c>
      <c r="C4" s="5" t="s">
        <v>181</v>
      </c>
      <c r="D4" s="17" t="s">
        <v>209</v>
      </c>
      <c r="E4" s="1" t="s">
        <v>160</v>
      </c>
      <c r="F4" s="1" t="s">
        <v>222</v>
      </c>
      <c r="G4" s="36"/>
    </row>
    <row r="5" spans="1:8" ht="33.35" x14ac:dyDescent="0.65">
      <c r="A5" s="2" t="s">
        <v>285</v>
      </c>
      <c r="B5" s="58" t="s">
        <v>33</v>
      </c>
      <c r="C5" s="1" t="s">
        <v>157</v>
      </c>
      <c r="D5" s="18" t="s">
        <v>210</v>
      </c>
      <c r="E5" s="1" t="s">
        <v>117</v>
      </c>
      <c r="F5" s="1" t="s">
        <v>211</v>
      </c>
      <c r="G5" s="36"/>
    </row>
    <row r="6" spans="1:8" x14ac:dyDescent="0.65">
      <c r="A6" s="2" t="s">
        <v>286</v>
      </c>
      <c r="B6" s="1" t="s">
        <v>33</v>
      </c>
      <c r="C6" s="1" t="s">
        <v>152</v>
      </c>
      <c r="D6" s="18" t="s">
        <v>148</v>
      </c>
      <c r="E6" s="1" t="s">
        <v>124</v>
      </c>
      <c r="F6" s="1" t="s">
        <v>222</v>
      </c>
      <c r="G6" s="36"/>
    </row>
    <row r="7" spans="1:8" ht="83.35" x14ac:dyDescent="0.65">
      <c r="A7" s="2" t="s">
        <v>261</v>
      </c>
      <c r="B7" s="13" t="s">
        <v>34</v>
      </c>
      <c r="C7" s="5" t="s">
        <v>428</v>
      </c>
      <c r="D7" s="18" t="s">
        <v>212</v>
      </c>
      <c r="E7" s="1" t="s">
        <v>116</v>
      </c>
      <c r="F7" s="1" t="s">
        <v>223</v>
      </c>
      <c r="G7" s="36"/>
    </row>
    <row r="8" spans="1:8" ht="83.35" x14ac:dyDescent="0.65">
      <c r="A8" s="2" t="s">
        <v>262</v>
      </c>
      <c r="B8" s="58" t="s">
        <v>189</v>
      </c>
      <c r="C8" s="5" t="s">
        <v>158</v>
      </c>
      <c r="D8" s="18" t="s">
        <v>146</v>
      </c>
      <c r="E8" s="1" t="s">
        <v>117</v>
      </c>
      <c r="F8" s="1" t="s">
        <v>213</v>
      </c>
      <c r="G8" s="35" t="s">
        <v>232</v>
      </c>
      <c r="H8" s="35" t="s">
        <v>313</v>
      </c>
    </row>
    <row r="9" spans="1:8" x14ac:dyDescent="0.65">
      <c r="A9" s="2" t="s">
        <v>263</v>
      </c>
      <c r="B9" s="46" t="s">
        <v>189</v>
      </c>
      <c r="C9" s="5" t="s">
        <v>175</v>
      </c>
      <c r="D9" s="19" t="s">
        <v>185</v>
      </c>
      <c r="E9" s="1" t="s">
        <v>117</v>
      </c>
      <c r="F9" s="1" t="s">
        <v>215</v>
      </c>
      <c r="G9" s="36"/>
    </row>
    <row r="10" spans="1:8" x14ac:dyDescent="0.65">
      <c r="A10" s="14" t="s">
        <v>264</v>
      </c>
      <c r="B10" s="58" t="s">
        <v>35</v>
      </c>
      <c r="C10" s="13" t="s">
        <v>118</v>
      </c>
      <c r="D10" s="59" t="s">
        <v>119</v>
      </c>
      <c r="E10" s="4" t="s">
        <v>116</v>
      </c>
      <c r="F10" s="4" t="s">
        <v>214</v>
      </c>
      <c r="G10" s="57"/>
    </row>
    <row r="11" spans="1:8" x14ac:dyDescent="0.65">
      <c r="A11" s="2" t="s">
        <v>265</v>
      </c>
      <c r="B11" s="46" t="s">
        <v>35</v>
      </c>
      <c r="C11" s="5" t="s">
        <v>130</v>
      </c>
      <c r="D11" s="17" t="s">
        <v>131</v>
      </c>
      <c r="E11" s="1" t="s">
        <v>124</v>
      </c>
      <c r="F11" s="1" t="s">
        <v>216</v>
      </c>
      <c r="G11" s="36"/>
    </row>
    <row r="12" spans="1:8" x14ac:dyDescent="0.65">
      <c r="A12" s="2" t="s">
        <v>266</v>
      </c>
      <c r="B12" s="46" t="s">
        <v>35</v>
      </c>
      <c r="C12" s="5" t="s">
        <v>132</v>
      </c>
      <c r="D12" s="17" t="s">
        <v>133</v>
      </c>
      <c r="E12" s="1" t="s">
        <v>124</v>
      </c>
      <c r="F12" s="1" t="s">
        <v>221</v>
      </c>
      <c r="G12" s="36"/>
    </row>
    <row r="13" spans="1:8" x14ac:dyDescent="0.65">
      <c r="A13" s="2" t="s">
        <v>267</v>
      </c>
      <c r="B13" s="46" t="s">
        <v>35</v>
      </c>
      <c r="C13" s="5" t="s">
        <v>135</v>
      </c>
      <c r="D13" s="17" t="s">
        <v>136</v>
      </c>
      <c r="E13" s="1" t="s">
        <v>116</v>
      </c>
      <c r="F13" s="1" t="s">
        <v>217</v>
      </c>
      <c r="G13" s="36"/>
    </row>
    <row r="14" spans="1:8" ht="33.35" x14ac:dyDescent="0.65">
      <c r="A14" s="2" t="s">
        <v>268</v>
      </c>
      <c r="B14" s="46" t="s">
        <v>35</v>
      </c>
      <c r="C14" s="5" t="s">
        <v>174</v>
      </c>
      <c r="D14" s="17" t="s">
        <v>183</v>
      </c>
      <c r="E14" s="1" t="s">
        <v>173</v>
      </c>
      <c r="F14" s="1" t="s">
        <v>218</v>
      </c>
      <c r="G14" s="36"/>
    </row>
    <row r="15" spans="1:8" x14ac:dyDescent="0.65">
      <c r="A15" s="2" t="s">
        <v>269</v>
      </c>
      <c r="B15" s="5" t="s">
        <v>111</v>
      </c>
      <c r="C15" s="5" t="s">
        <v>108</v>
      </c>
      <c r="D15" s="19" t="s">
        <v>109</v>
      </c>
      <c r="E15" s="1" t="s">
        <v>116</v>
      </c>
      <c r="F15" s="1" t="s">
        <v>219</v>
      </c>
      <c r="G15" s="36"/>
    </row>
    <row r="16" spans="1:8" x14ac:dyDescent="0.65">
      <c r="A16" s="2" t="s">
        <v>270</v>
      </c>
      <c r="B16" s="5" t="s">
        <v>112</v>
      </c>
      <c r="C16" s="5" t="s">
        <v>114</v>
      </c>
      <c r="D16" s="19" t="s">
        <v>113</v>
      </c>
      <c r="E16" s="1" t="s">
        <v>117</v>
      </c>
      <c r="F16" s="1" t="s">
        <v>221</v>
      </c>
      <c r="G16" s="36"/>
    </row>
    <row r="17" spans="1:7" x14ac:dyDescent="0.65">
      <c r="A17" s="2" t="s">
        <v>271</v>
      </c>
      <c r="B17" s="5" t="s">
        <v>141</v>
      </c>
      <c r="C17" s="5" t="s">
        <v>142</v>
      </c>
      <c r="D17" s="22" t="s">
        <v>143</v>
      </c>
      <c r="E17" s="1"/>
      <c r="F17" s="1" t="s">
        <v>224</v>
      </c>
      <c r="G17" s="36"/>
    </row>
    <row r="18" spans="1:7" x14ac:dyDescent="0.65">
      <c r="A18" s="2" t="s">
        <v>272</v>
      </c>
      <c r="B18" s="5" t="s">
        <v>154</v>
      </c>
      <c r="C18" s="5" t="s">
        <v>155</v>
      </c>
      <c r="D18" s="19" t="s">
        <v>159</v>
      </c>
      <c r="E18" s="1" t="s">
        <v>117</v>
      </c>
      <c r="F18" s="1" t="s">
        <v>227</v>
      </c>
      <c r="G18" s="36"/>
    </row>
    <row r="19" spans="1:7" ht="50" x14ac:dyDescent="0.65">
      <c r="A19" s="2" t="s">
        <v>274</v>
      </c>
      <c r="B19" s="5" t="s">
        <v>162</v>
      </c>
      <c r="C19" s="5" t="s">
        <v>164</v>
      </c>
      <c r="D19" s="19" t="s">
        <v>225</v>
      </c>
      <c r="E19" s="1" t="s">
        <v>116</v>
      </c>
      <c r="F19" s="1" t="s">
        <v>226</v>
      </c>
      <c r="G19" s="36"/>
    </row>
    <row r="20" spans="1:7" ht="50" x14ac:dyDescent="0.65">
      <c r="A20" s="2" t="s">
        <v>275</v>
      </c>
      <c r="B20" s="5" t="s">
        <v>169</v>
      </c>
      <c r="C20" s="5" t="s">
        <v>167</v>
      </c>
      <c r="D20" s="19" t="s">
        <v>228</v>
      </c>
      <c r="E20" s="1" t="s">
        <v>116</v>
      </c>
      <c r="F20" s="1" t="s">
        <v>229</v>
      </c>
      <c r="G20" s="36"/>
    </row>
  </sheetData>
  <phoneticPr fontId="2" type="noConversion"/>
  <dataValidations count="1">
    <dataValidation type="list" allowBlank="1" showInputMessage="1" showErrorMessage="1" sqref="B3:B20" xr:uid="{00000000-0002-0000-0200-000000000000}">
      <formula1>$B$3:$B$20</formula1>
    </dataValidation>
  </dataValidations>
  <hyperlinks>
    <hyperlink ref="D15" r:id="rId1" xr:uid="{00000000-0004-0000-0200-000000000000}"/>
    <hyperlink ref="D16" r:id="rId2" xr:uid="{00000000-0004-0000-0200-000001000000}"/>
    <hyperlink ref="D11" r:id="rId3" xr:uid="{00000000-0004-0000-0200-000002000000}"/>
    <hyperlink ref="D3" r:id="rId4" xr:uid="{00000000-0004-0000-0200-000003000000}"/>
    <hyperlink ref="D7" r:id="rId5" display="https://kosis.kr/openapi/Param/statisticsParameterData.do?method=getList&amp;apiKey=YjhkNjhiMTM1YTU0ZjJlZGEzNTU2MmYxYTMwZGM0YzY=&amp;itmId=00+&amp;objL1=ALL&amp;objL2=ALL&amp;objL3=&amp;objL4=&amp;objL5=&amp;objL6=&amp;objL7=&amp;objL8=&amp;format=json&amp;jsonVD=Y&amp;prdSe=Y&amp;newEstPrdCnt=3&amp;orgId=110&amp;tblId=DT_11001N_2013_A001" xr:uid="{00000000-0004-0000-0200-000004000000}"/>
    <hyperlink ref="D10" r:id="rId6" xr:uid="{00000000-0004-0000-0200-000005000000}"/>
    <hyperlink ref="D12" r:id="rId7" xr:uid="{00000000-0004-0000-0200-000006000000}"/>
    <hyperlink ref="D13" r:id="rId8" xr:uid="{00000000-0004-0000-0200-000007000000}"/>
    <hyperlink ref="D17" r:id="rId9" xr:uid="{00000000-0004-0000-0200-000008000000}"/>
    <hyperlink ref="D8" r:id="rId10" xr:uid="{00000000-0004-0000-0200-000009000000}"/>
    <hyperlink ref="D18" r:id="rId11" xr:uid="{00000000-0004-0000-0200-00000A000000}"/>
    <hyperlink ref="D14" r:id="rId12" xr:uid="{00000000-0004-0000-0200-00000B000000}"/>
    <hyperlink ref="D9" r:id="rId13" xr:uid="{00000000-0004-0000-0200-00000C000000}"/>
    <hyperlink ref="D4" r:id="rId14" xr:uid="{00000000-0004-0000-0200-00000D000000}"/>
    <hyperlink ref="D19" r:id="rId15" xr:uid="{00000000-0004-0000-0200-00000E000000}"/>
    <hyperlink ref="D20" r:id="rId16" xr:uid="{00000000-0004-0000-0200-00000F000000}"/>
    <hyperlink ref="D6" r:id="rId17" xr:uid="{00000000-0004-0000-0200-000010000000}"/>
    <hyperlink ref="D5" r:id="rId18" xr:uid="{00000000-0004-0000-0200-000011000000}"/>
  </hyperlinks>
  <pageMargins left="0.7" right="0.7" top="0.75" bottom="0.75" header="0.3" footer="0.3"/>
  <pageSetup paperSize="9" orientation="portrait" r:id="rId19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O28"/>
  <sheetViews>
    <sheetView tabSelected="1" topLeftCell="D1" zoomScale="70" zoomScaleNormal="70" workbookViewId="0">
      <selection activeCell="P23" sqref="P23"/>
    </sheetView>
  </sheetViews>
  <sheetFormatPr defaultRowHeight="16.7" x14ac:dyDescent="0.65"/>
  <cols>
    <col min="1" max="1" width="13.38671875" customWidth="1"/>
    <col min="2" max="2" width="27.609375" style="23" bestFit="1" customWidth="1"/>
    <col min="3" max="3" width="42.88671875" style="23" bestFit="1" customWidth="1"/>
    <col min="4" max="4" width="39.71875" style="61" customWidth="1"/>
    <col min="5" max="5" width="67.88671875" style="60" bestFit="1" customWidth="1"/>
    <col min="6" max="6" width="9.109375" style="23" bestFit="1" customWidth="1"/>
    <col min="7" max="7" width="15.109375" style="23" bestFit="1" customWidth="1"/>
    <col min="8" max="8" width="9.609375" style="23" bestFit="1" customWidth="1"/>
    <col min="9" max="10" width="27.88671875" style="23" customWidth="1"/>
    <col min="11" max="11" width="15.109375" bestFit="1" customWidth="1"/>
    <col min="12" max="12" width="11" bestFit="1" customWidth="1"/>
    <col min="13" max="13" width="15.109375" bestFit="1" customWidth="1"/>
    <col min="14" max="14" width="35.94140625" customWidth="1"/>
    <col min="16" max="16" width="13.33203125" bestFit="1" customWidth="1"/>
  </cols>
  <sheetData>
    <row r="1" spans="1:15" s="23" customFormat="1" x14ac:dyDescent="0.65">
      <c r="A1" s="14" t="s">
        <v>74</v>
      </c>
      <c r="B1" s="14" t="s">
        <v>276</v>
      </c>
      <c r="C1" s="14" t="s">
        <v>30</v>
      </c>
      <c r="D1" s="24" t="s">
        <v>441</v>
      </c>
      <c r="E1" s="67" t="s">
        <v>442</v>
      </c>
      <c r="F1" s="14" t="s">
        <v>115</v>
      </c>
      <c r="G1" s="14" t="s">
        <v>446</v>
      </c>
      <c r="H1" s="14" t="s">
        <v>201</v>
      </c>
      <c r="I1" s="14" t="s">
        <v>1296</v>
      </c>
      <c r="J1" s="14" t="s">
        <v>1295</v>
      </c>
      <c r="K1" s="14" t="s">
        <v>1289</v>
      </c>
      <c r="L1" s="14" t="s">
        <v>1290</v>
      </c>
      <c r="M1" s="14" t="s">
        <v>1291</v>
      </c>
      <c r="N1" s="14" t="s">
        <v>1303</v>
      </c>
      <c r="O1" s="85" t="s">
        <v>1320</v>
      </c>
    </row>
    <row r="2" spans="1:15" x14ac:dyDescent="0.65">
      <c r="A2" s="14" t="s">
        <v>1213</v>
      </c>
      <c r="B2" s="14" t="s">
        <v>432</v>
      </c>
      <c r="C2" s="14" t="s">
        <v>324</v>
      </c>
      <c r="D2" s="67" t="s">
        <v>1298</v>
      </c>
      <c r="E2" s="67" t="s">
        <v>1299</v>
      </c>
      <c r="F2" s="14" t="s">
        <v>435</v>
      </c>
      <c r="G2" s="14" t="s">
        <v>430</v>
      </c>
      <c r="H2" s="14" t="s">
        <v>456</v>
      </c>
      <c r="I2" s="14" t="s">
        <v>1294</v>
      </c>
      <c r="J2" s="14" t="s">
        <v>1294</v>
      </c>
      <c r="K2" s="14" t="s">
        <v>352</v>
      </c>
      <c r="L2" s="14" t="s">
        <v>352</v>
      </c>
      <c r="M2" s="14" t="s">
        <v>352</v>
      </c>
      <c r="N2" s="14" t="s">
        <v>1300</v>
      </c>
      <c r="O2" s="14" t="s">
        <v>352</v>
      </c>
    </row>
    <row r="3" spans="1:15" x14ac:dyDescent="0.65">
      <c r="A3" s="14" t="s">
        <v>1262</v>
      </c>
      <c r="B3" s="14" t="s">
        <v>432</v>
      </c>
      <c r="C3" s="14" t="s">
        <v>1269</v>
      </c>
      <c r="D3" s="67" t="s">
        <v>1298</v>
      </c>
      <c r="E3" s="67" t="s">
        <v>1293</v>
      </c>
      <c r="F3" s="14" t="s">
        <v>435</v>
      </c>
      <c r="G3" s="14" t="s">
        <v>430</v>
      </c>
      <c r="H3" s="14" t="s">
        <v>456</v>
      </c>
      <c r="I3" s="14" t="s">
        <v>352</v>
      </c>
      <c r="J3" s="14" t="s">
        <v>1294</v>
      </c>
      <c r="K3" s="14" t="s">
        <v>352</v>
      </c>
      <c r="L3" s="14" t="s">
        <v>352</v>
      </c>
      <c r="M3" s="14" t="s">
        <v>352</v>
      </c>
      <c r="N3" s="79" t="s">
        <v>349</v>
      </c>
      <c r="O3" s="79" t="s">
        <v>349</v>
      </c>
    </row>
    <row r="4" spans="1:15" x14ac:dyDescent="0.65">
      <c r="A4" s="14" t="s">
        <v>1263</v>
      </c>
      <c r="B4" s="14" t="s">
        <v>432</v>
      </c>
      <c r="C4" s="14" t="s">
        <v>1270</v>
      </c>
      <c r="D4" s="67" t="s">
        <v>1273</v>
      </c>
      <c r="E4" s="80" t="s">
        <v>1301</v>
      </c>
      <c r="F4" s="14" t="s">
        <v>435</v>
      </c>
      <c r="G4" s="14" t="s">
        <v>430</v>
      </c>
      <c r="H4" s="14" t="s">
        <v>1274</v>
      </c>
      <c r="I4" s="14" t="s">
        <v>352</v>
      </c>
      <c r="J4" s="14" t="s">
        <v>1294</v>
      </c>
      <c r="K4" s="14" t="s">
        <v>352</v>
      </c>
      <c r="L4" s="14" t="s">
        <v>352</v>
      </c>
      <c r="M4" s="14" t="s">
        <v>352</v>
      </c>
      <c r="N4" s="14" t="s">
        <v>1300</v>
      </c>
      <c r="O4" s="14" t="s">
        <v>352</v>
      </c>
    </row>
    <row r="5" spans="1:15" ht="33.35" x14ac:dyDescent="0.65">
      <c r="A5" s="14" t="s">
        <v>1264</v>
      </c>
      <c r="B5" s="14" t="s">
        <v>432</v>
      </c>
      <c r="C5" s="24" t="s">
        <v>1271</v>
      </c>
      <c r="D5" s="67" t="s">
        <v>1273</v>
      </c>
      <c r="E5" s="80" t="s">
        <v>1302</v>
      </c>
      <c r="F5" s="14" t="s">
        <v>435</v>
      </c>
      <c r="G5" s="14" t="s">
        <v>430</v>
      </c>
      <c r="H5" s="14" t="s">
        <v>1274</v>
      </c>
      <c r="I5" s="14" t="s">
        <v>352</v>
      </c>
      <c r="J5" s="14" t="s">
        <v>1294</v>
      </c>
      <c r="K5" s="14" t="s">
        <v>352</v>
      </c>
      <c r="L5" s="14" t="s">
        <v>352</v>
      </c>
      <c r="M5" s="14" t="s">
        <v>352</v>
      </c>
      <c r="N5" s="14" t="s">
        <v>1300</v>
      </c>
      <c r="O5" s="14" t="s">
        <v>352</v>
      </c>
    </row>
    <row r="6" spans="1:15" ht="33.35" x14ac:dyDescent="0.65">
      <c r="A6" s="14" t="s">
        <v>1265</v>
      </c>
      <c r="B6" s="14" t="s">
        <v>432</v>
      </c>
      <c r="C6" s="24" t="s">
        <v>1282</v>
      </c>
      <c r="D6" s="67" t="s">
        <v>1273</v>
      </c>
      <c r="E6" s="80" t="s">
        <v>1304</v>
      </c>
      <c r="F6" s="14" t="s">
        <v>435</v>
      </c>
      <c r="G6" s="14" t="s">
        <v>430</v>
      </c>
      <c r="H6" s="14" t="s">
        <v>1274</v>
      </c>
      <c r="I6" s="14" t="s">
        <v>352</v>
      </c>
      <c r="J6" s="14" t="s">
        <v>1294</v>
      </c>
      <c r="K6" s="14" t="s">
        <v>352</v>
      </c>
      <c r="L6" s="14" t="s">
        <v>352</v>
      </c>
      <c r="M6" s="14" t="s">
        <v>352</v>
      </c>
      <c r="N6" s="14" t="s">
        <v>1300</v>
      </c>
      <c r="O6" s="14" t="s">
        <v>352</v>
      </c>
    </row>
    <row r="7" spans="1:15" ht="33.35" x14ac:dyDescent="0.65">
      <c r="A7" s="14" t="s">
        <v>1266</v>
      </c>
      <c r="B7" s="14" t="s">
        <v>432</v>
      </c>
      <c r="C7" s="24" t="s">
        <v>1283</v>
      </c>
      <c r="D7" s="67" t="s">
        <v>1273</v>
      </c>
      <c r="E7" s="67" t="s">
        <v>1275</v>
      </c>
      <c r="F7" s="14" t="s">
        <v>435</v>
      </c>
      <c r="G7" s="14" t="s">
        <v>430</v>
      </c>
      <c r="H7" s="14" t="s">
        <v>1274</v>
      </c>
      <c r="I7" s="14" t="s">
        <v>352</v>
      </c>
      <c r="J7" s="14" t="s">
        <v>1294</v>
      </c>
      <c r="K7" s="14" t="s">
        <v>352</v>
      </c>
      <c r="L7" s="14" t="s">
        <v>352</v>
      </c>
      <c r="M7" s="14" t="s">
        <v>352</v>
      </c>
      <c r="N7" s="14" t="s">
        <v>1300</v>
      </c>
      <c r="O7" s="14" t="s">
        <v>352</v>
      </c>
    </row>
    <row r="8" spans="1:15" x14ac:dyDescent="0.65">
      <c r="A8" s="14" t="s">
        <v>1267</v>
      </c>
      <c r="B8" s="14" t="s">
        <v>432</v>
      </c>
      <c r="C8" s="14" t="s">
        <v>1284</v>
      </c>
      <c r="D8" s="67" t="s">
        <v>1273</v>
      </c>
      <c r="E8" s="80" t="s">
        <v>1321</v>
      </c>
      <c r="F8" s="14" t="s">
        <v>435</v>
      </c>
      <c r="G8" s="14" t="s">
        <v>430</v>
      </c>
      <c r="H8" s="14" t="s">
        <v>1274</v>
      </c>
      <c r="I8" s="14" t="s">
        <v>352</v>
      </c>
      <c r="J8" s="14" t="s">
        <v>1294</v>
      </c>
      <c r="K8" s="14" t="s">
        <v>352</v>
      </c>
      <c r="L8" s="14" t="s">
        <v>352</v>
      </c>
      <c r="M8" s="14" t="s">
        <v>352</v>
      </c>
      <c r="N8" s="14" t="s">
        <v>1305</v>
      </c>
      <c r="O8" s="14" t="s">
        <v>352</v>
      </c>
    </row>
    <row r="9" spans="1:15" x14ac:dyDescent="0.65">
      <c r="A9" s="14" t="s">
        <v>1268</v>
      </c>
      <c r="B9" s="14" t="s">
        <v>432</v>
      </c>
      <c r="C9" s="14" t="s">
        <v>1285</v>
      </c>
      <c r="D9" s="67" t="s">
        <v>1273</v>
      </c>
      <c r="E9" s="67" t="s">
        <v>1276</v>
      </c>
      <c r="F9" s="14" t="s">
        <v>435</v>
      </c>
      <c r="G9" s="14" t="s">
        <v>430</v>
      </c>
      <c r="H9" s="14" t="s">
        <v>1274</v>
      </c>
      <c r="I9" s="14" t="s">
        <v>352</v>
      </c>
      <c r="J9" s="14" t="s">
        <v>1294</v>
      </c>
      <c r="K9" s="14" t="s">
        <v>352</v>
      </c>
      <c r="L9" s="14" t="s">
        <v>352</v>
      </c>
      <c r="M9" s="14" t="s">
        <v>352</v>
      </c>
      <c r="N9" s="14" t="s">
        <v>1305</v>
      </c>
      <c r="O9" s="14" t="s">
        <v>352</v>
      </c>
    </row>
    <row r="10" spans="1:15" x14ac:dyDescent="0.65">
      <c r="A10" s="14" t="s">
        <v>1279</v>
      </c>
      <c r="B10" s="14" t="s">
        <v>432</v>
      </c>
      <c r="C10" s="14" t="s">
        <v>1272</v>
      </c>
      <c r="D10" s="67" t="s">
        <v>1273</v>
      </c>
      <c r="E10" s="67" t="s">
        <v>1277</v>
      </c>
      <c r="F10" s="14" t="s">
        <v>435</v>
      </c>
      <c r="G10" s="14" t="s">
        <v>430</v>
      </c>
      <c r="H10" s="14" t="s">
        <v>1274</v>
      </c>
      <c r="I10" s="14" t="s">
        <v>352</v>
      </c>
      <c r="J10" s="14" t="s">
        <v>1294</v>
      </c>
      <c r="K10" s="14" t="s">
        <v>352</v>
      </c>
      <c r="L10" s="14" t="s">
        <v>352</v>
      </c>
      <c r="M10" s="14" t="s">
        <v>352</v>
      </c>
      <c r="N10" s="14" t="s">
        <v>1306</v>
      </c>
      <c r="O10" s="14" t="s">
        <v>352</v>
      </c>
    </row>
    <row r="11" spans="1:15" x14ac:dyDescent="0.65">
      <c r="A11" s="14" t="s">
        <v>1280</v>
      </c>
      <c r="B11" s="14" t="s">
        <v>432</v>
      </c>
      <c r="C11" s="14" t="s">
        <v>1286</v>
      </c>
      <c r="D11" s="67" t="s">
        <v>1273</v>
      </c>
      <c r="E11" s="67" t="s">
        <v>1278</v>
      </c>
      <c r="F11" s="14" t="s">
        <v>435</v>
      </c>
      <c r="G11" s="14" t="s">
        <v>430</v>
      </c>
      <c r="H11" s="14" t="s">
        <v>1274</v>
      </c>
      <c r="I11" s="14" t="s">
        <v>352</v>
      </c>
      <c r="J11" s="14" t="s">
        <v>1294</v>
      </c>
      <c r="K11" s="14" t="s">
        <v>352</v>
      </c>
      <c r="L11" s="14" t="s">
        <v>352</v>
      </c>
      <c r="M11" s="14" t="s">
        <v>352</v>
      </c>
      <c r="N11" s="14" t="s">
        <v>1300</v>
      </c>
      <c r="O11" s="14" t="s">
        <v>352</v>
      </c>
    </row>
    <row r="12" spans="1:15" x14ac:dyDescent="0.65">
      <c r="A12" s="14" t="s">
        <v>1281</v>
      </c>
      <c r="B12" s="14" t="s">
        <v>432</v>
      </c>
      <c r="C12" s="14" t="s">
        <v>1287</v>
      </c>
      <c r="D12" s="67" t="s">
        <v>1273</v>
      </c>
      <c r="E12" s="67" t="s">
        <v>1278</v>
      </c>
      <c r="F12" s="14" t="s">
        <v>435</v>
      </c>
      <c r="G12" s="14" t="s">
        <v>430</v>
      </c>
      <c r="H12" s="14" t="s">
        <v>1274</v>
      </c>
      <c r="I12" s="14" t="s">
        <v>352</v>
      </c>
      <c r="J12" s="14" t="s">
        <v>1294</v>
      </c>
      <c r="K12" s="14" t="s">
        <v>352</v>
      </c>
      <c r="L12" s="14" t="s">
        <v>352</v>
      </c>
      <c r="M12" s="14" t="s">
        <v>352</v>
      </c>
      <c r="N12" s="14" t="s">
        <v>1300</v>
      </c>
      <c r="O12" s="14" t="s">
        <v>352</v>
      </c>
    </row>
    <row r="13" spans="1:15" ht="33.35" x14ac:dyDescent="0.65">
      <c r="A13" s="14" t="s">
        <v>1214</v>
      </c>
      <c r="B13" s="14" t="s">
        <v>431</v>
      </c>
      <c r="C13" s="14" t="s">
        <v>1254</v>
      </c>
      <c r="D13" s="67" t="s">
        <v>210</v>
      </c>
      <c r="E13" s="67" t="s">
        <v>210</v>
      </c>
      <c r="F13" s="14" t="s">
        <v>435</v>
      </c>
      <c r="G13" s="14" t="s">
        <v>430</v>
      </c>
      <c r="H13" s="14" t="s">
        <v>457</v>
      </c>
      <c r="I13" s="14" t="s">
        <v>1294</v>
      </c>
      <c r="J13" s="14" t="s">
        <v>1294</v>
      </c>
      <c r="K13" s="14" t="s">
        <v>352</v>
      </c>
      <c r="L13" s="14" t="s">
        <v>352</v>
      </c>
      <c r="M13" s="14" t="s">
        <v>352</v>
      </c>
      <c r="N13" s="14" t="s">
        <v>1307</v>
      </c>
      <c r="O13" s="14" t="s">
        <v>352</v>
      </c>
    </row>
    <row r="14" spans="1:15" ht="33.35" x14ac:dyDescent="0.65">
      <c r="A14" s="14" t="s">
        <v>1226</v>
      </c>
      <c r="B14" s="14" t="s">
        <v>431</v>
      </c>
      <c r="C14" s="14" t="s">
        <v>1227</v>
      </c>
      <c r="D14" s="67" t="s">
        <v>1228</v>
      </c>
      <c r="E14" s="80" t="s">
        <v>1228</v>
      </c>
      <c r="F14" s="14" t="s">
        <v>435</v>
      </c>
      <c r="G14" s="14" t="s">
        <v>430</v>
      </c>
      <c r="H14" s="14" t="s">
        <v>1229</v>
      </c>
      <c r="I14" s="14" t="s">
        <v>352</v>
      </c>
      <c r="J14" s="14" t="s">
        <v>1294</v>
      </c>
      <c r="K14" s="14" t="s">
        <v>352</v>
      </c>
      <c r="L14" s="14" t="s">
        <v>352</v>
      </c>
      <c r="M14" s="14" t="s">
        <v>352</v>
      </c>
      <c r="N14" s="14" t="s">
        <v>1308</v>
      </c>
      <c r="O14" s="14" t="s">
        <v>352</v>
      </c>
    </row>
    <row r="15" spans="1:15" ht="100" x14ac:dyDescent="0.65">
      <c r="A15" s="14" t="s">
        <v>1218</v>
      </c>
      <c r="B15" s="14" t="s">
        <v>436</v>
      </c>
      <c r="C15" s="14" t="s">
        <v>428</v>
      </c>
      <c r="D15" s="67" t="s">
        <v>437</v>
      </c>
      <c r="E15" s="80" t="s">
        <v>437</v>
      </c>
      <c r="F15" s="14" t="s">
        <v>434</v>
      </c>
      <c r="G15" s="14" t="s">
        <v>438</v>
      </c>
      <c r="H15" s="14" t="s">
        <v>439</v>
      </c>
      <c r="I15" s="14" t="s">
        <v>352</v>
      </c>
      <c r="J15" s="14" t="s">
        <v>352</v>
      </c>
      <c r="K15" s="14" t="s">
        <v>352</v>
      </c>
      <c r="L15" s="12" t="s">
        <v>349</v>
      </c>
      <c r="M15" s="12"/>
      <c r="N15" s="14" t="s">
        <v>1310</v>
      </c>
      <c r="O15" s="14" t="s">
        <v>352</v>
      </c>
    </row>
    <row r="16" spans="1:15" ht="50" x14ac:dyDescent="0.65">
      <c r="A16" s="14" t="s">
        <v>1219</v>
      </c>
      <c r="B16" s="14" t="s">
        <v>447</v>
      </c>
      <c r="C16" s="14" t="s">
        <v>448</v>
      </c>
      <c r="D16" s="69" t="s">
        <v>449</v>
      </c>
      <c r="E16" s="78" t="s">
        <v>450</v>
      </c>
      <c r="F16" s="14" t="s">
        <v>434</v>
      </c>
      <c r="G16" s="14" t="s">
        <v>438</v>
      </c>
      <c r="H16" s="14" t="s">
        <v>439</v>
      </c>
      <c r="I16" s="14"/>
      <c r="J16" s="14" t="s">
        <v>352</v>
      </c>
      <c r="K16" s="14" t="s">
        <v>352</v>
      </c>
      <c r="L16" s="12" t="s">
        <v>349</v>
      </c>
      <c r="M16" s="12"/>
      <c r="N16" s="14" t="s">
        <v>1309</v>
      </c>
      <c r="O16" s="14" t="s">
        <v>352</v>
      </c>
    </row>
    <row r="17" spans="1:15" ht="33.35" x14ac:dyDescent="0.65">
      <c r="A17" s="14" t="s">
        <v>1220</v>
      </c>
      <c r="B17" s="14" t="s">
        <v>433</v>
      </c>
      <c r="C17" s="14" t="s">
        <v>1205</v>
      </c>
      <c r="D17" s="57" t="s">
        <v>119</v>
      </c>
      <c r="E17" s="67" t="s">
        <v>451</v>
      </c>
      <c r="F17" s="14" t="s">
        <v>434</v>
      </c>
      <c r="G17" s="14" t="s">
        <v>430</v>
      </c>
      <c r="H17" s="14" t="s">
        <v>460</v>
      </c>
      <c r="I17" s="14" t="s">
        <v>352</v>
      </c>
      <c r="J17" s="14" t="s">
        <v>352</v>
      </c>
      <c r="K17" s="14" t="s">
        <v>352</v>
      </c>
      <c r="L17" s="12" t="s">
        <v>349</v>
      </c>
      <c r="M17" s="12"/>
      <c r="N17" s="79" t="s">
        <v>349</v>
      </c>
      <c r="O17" s="79" t="s">
        <v>349</v>
      </c>
    </row>
    <row r="18" spans="1:15" ht="33.35" x14ac:dyDescent="0.65">
      <c r="A18" s="14" t="s">
        <v>1221</v>
      </c>
      <c r="B18" s="14" t="s">
        <v>433</v>
      </c>
      <c r="C18" s="14" t="s">
        <v>1206</v>
      </c>
      <c r="D18" s="68" t="s">
        <v>452</v>
      </c>
      <c r="E18" s="82" t="s">
        <v>452</v>
      </c>
      <c r="F18" s="14" t="s">
        <v>435</v>
      </c>
      <c r="G18" s="14" t="s">
        <v>430</v>
      </c>
      <c r="H18" s="14" t="s">
        <v>439</v>
      </c>
      <c r="I18" s="14" t="s">
        <v>352</v>
      </c>
      <c r="J18" s="14" t="s">
        <v>352</v>
      </c>
      <c r="K18" s="14" t="s">
        <v>352</v>
      </c>
      <c r="L18" s="14" t="s">
        <v>352</v>
      </c>
      <c r="M18" s="14" t="s">
        <v>352</v>
      </c>
      <c r="N18" s="14" t="s">
        <v>1311</v>
      </c>
      <c r="O18" s="14" t="s">
        <v>352</v>
      </c>
    </row>
    <row r="19" spans="1:15" ht="33.35" x14ac:dyDescent="0.65">
      <c r="A19" s="14" t="s">
        <v>1215</v>
      </c>
      <c r="B19" s="14" t="s">
        <v>433</v>
      </c>
      <c r="C19" s="14" t="s">
        <v>440</v>
      </c>
      <c r="D19" s="68" t="s">
        <v>396</v>
      </c>
      <c r="E19" s="13" t="s">
        <v>453</v>
      </c>
      <c r="F19" s="14" t="s">
        <v>434</v>
      </c>
      <c r="G19" s="14" t="s">
        <v>430</v>
      </c>
      <c r="H19" s="14" t="s">
        <v>455</v>
      </c>
      <c r="I19" s="14" t="s">
        <v>352</v>
      </c>
      <c r="J19" s="14" t="s">
        <v>352</v>
      </c>
      <c r="K19" s="14" t="s">
        <v>352</v>
      </c>
      <c r="L19" s="12" t="s">
        <v>349</v>
      </c>
      <c r="M19" s="12"/>
      <c r="N19" s="24" t="s">
        <v>1323</v>
      </c>
      <c r="O19" s="14" t="s">
        <v>352</v>
      </c>
    </row>
    <row r="20" spans="1:15" ht="33.35" x14ac:dyDescent="0.65">
      <c r="A20" s="14" t="s">
        <v>1222</v>
      </c>
      <c r="B20" s="14" t="s">
        <v>433</v>
      </c>
      <c r="C20" s="14" t="s">
        <v>1207</v>
      </c>
      <c r="D20" s="24" t="s">
        <v>366</v>
      </c>
      <c r="E20" s="70" t="s">
        <v>454</v>
      </c>
      <c r="F20" s="14" t="s">
        <v>434</v>
      </c>
      <c r="G20" s="14" t="s">
        <v>430</v>
      </c>
      <c r="H20" s="14" t="s">
        <v>456</v>
      </c>
      <c r="I20" s="14" t="s">
        <v>352</v>
      </c>
      <c r="J20" s="14" t="s">
        <v>352</v>
      </c>
      <c r="K20" s="14" t="s">
        <v>352</v>
      </c>
      <c r="L20" s="12" t="s">
        <v>349</v>
      </c>
      <c r="M20" s="12"/>
      <c r="N20" s="14" t="s">
        <v>1322</v>
      </c>
      <c r="O20" s="14" t="s">
        <v>352</v>
      </c>
    </row>
    <row r="21" spans="1:15" x14ac:dyDescent="0.65">
      <c r="A21" s="14" t="s">
        <v>1216</v>
      </c>
      <c r="B21" s="14" t="s">
        <v>433</v>
      </c>
      <c r="C21" s="14" t="s">
        <v>458</v>
      </c>
      <c r="D21" s="78" t="s">
        <v>395</v>
      </c>
      <c r="E21" s="70" t="s">
        <v>459</v>
      </c>
      <c r="F21" s="14" t="s">
        <v>434</v>
      </c>
      <c r="G21" s="14" t="s">
        <v>430</v>
      </c>
      <c r="H21" s="14" t="s">
        <v>460</v>
      </c>
      <c r="I21" s="14" t="s">
        <v>352</v>
      </c>
      <c r="J21" s="14" t="s">
        <v>352</v>
      </c>
      <c r="K21" s="14" t="s">
        <v>352</v>
      </c>
      <c r="L21" s="12" t="s">
        <v>349</v>
      </c>
      <c r="M21" s="12"/>
      <c r="N21" s="14" t="s">
        <v>1312</v>
      </c>
      <c r="O21" s="79" t="s">
        <v>349</v>
      </c>
    </row>
    <row r="22" spans="1:15" x14ac:dyDescent="0.65">
      <c r="A22" s="14" t="s">
        <v>1217</v>
      </c>
      <c r="B22" s="14" t="s">
        <v>433</v>
      </c>
      <c r="C22" s="14" t="s">
        <v>1208</v>
      </c>
      <c r="D22" s="78" t="s">
        <v>1288</v>
      </c>
      <c r="E22" s="70" t="s">
        <v>1204</v>
      </c>
      <c r="F22" s="14" t="s">
        <v>434</v>
      </c>
      <c r="G22" s="14" t="s">
        <v>430</v>
      </c>
      <c r="H22" s="14" t="s">
        <v>460</v>
      </c>
      <c r="I22" s="14" t="s">
        <v>352</v>
      </c>
      <c r="J22" s="14" t="s">
        <v>352</v>
      </c>
      <c r="K22" s="14" t="s">
        <v>352</v>
      </c>
      <c r="L22" s="12" t="s">
        <v>349</v>
      </c>
      <c r="M22" s="12"/>
      <c r="N22" s="14" t="s">
        <v>1322</v>
      </c>
      <c r="O22" s="14" t="s">
        <v>352</v>
      </c>
    </row>
    <row r="23" spans="1:15" ht="33.35" x14ac:dyDescent="0.65">
      <c r="A23" s="14" t="s">
        <v>1223</v>
      </c>
      <c r="B23" s="14" t="s">
        <v>433</v>
      </c>
      <c r="C23" s="14" t="s">
        <v>1224</v>
      </c>
      <c r="D23" s="81" t="s">
        <v>1203</v>
      </c>
      <c r="E23" s="67" t="s">
        <v>1225</v>
      </c>
      <c r="F23" s="14" t="s">
        <v>435</v>
      </c>
      <c r="G23" s="14" t="s">
        <v>430</v>
      </c>
      <c r="H23" s="14" t="s">
        <v>439</v>
      </c>
      <c r="I23" s="14" t="s">
        <v>352</v>
      </c>
      <c r="J23" s="14" t="s">
        <v>352</v>
      </c>
      <c r="K23" s="14" t="s">
        <v>352</v>
      </c>
      <c r="L23" s="14" t="s">
        <v>352</v>
      </c>
      <c r="M23" s="14" t="s">
        <v>352</v>
      </c>
      <c r="N23" s="14" t="s">
        <v>1313</v>
      </c>
      <c r="O23" s="14" t="s">
        <v>352</v>
      </c>
    </row>
    <row r="24" spans="1:15" x14ac:dyDescent="0.65">
      <c r="A24" s="14" t="s">
        <v>1242</v>
      </c>
      <c r="B24" s="14" t="s">
        <v>1238</v>
      </c>
      <c r="C24" s="14" t="s">
        <v>1239</v>
      </c>
      <c r="D24" s="81" t="s">
        <v>1314</v>
      </c>
      <c r="E24" s="80" t="s">
        <v>1292</v>
      </c>
      <c r="F24" s="14" t="s">
        <v>1241</v>
      </c>
      <c r="G24" s="14" t="s">
        <v>1240</v>
      </c>
      <c r="H24" s="14" t="s">
        <v>456</v>
      </c>
      <c r="I24" s="14" t="s">
        <v>352</v>
      </c>
      <c r="J24" s="14" t="s">
        <v>352</v>
      </c>
      <c r="K24" s="14" t="s">
        <v>352</v>
      </c>
      <c r="L24" s="12" t="s">
        <v>349</v>
      </c>
      <c r="M24" s="12"/>
      <c r="N24" s="14" t="s">
        <v>1315</v>
      </c>
      <c r="O24" s="14" t="s">
        <v>352</v>
      </c>
    </row>
    <row r="25" spans="1:15" ht="33.35" x14ac:dyDescent="0.65">
      <c r="A25" s="79" t="s">
        <v>1243</v>
      </c>
      <c r="B25" s="79" t="s">
        <v>154</v>
      </c>
      <c r="C25" s="79" t="s">
        <v>155</v>
      </c>
      <c r="D25" s="83" t="s">
        <v>1232</v>
      </c>
      <c r="E25" s="84" t="s">
        <v>1233</v>
      </c>
      <c r="F25" s="79" t="s">
        <v>435</v>
      </c>
      <c r="G25" s="79" t="s">
        <v>430</v>
      </c>
      <c r="H25" s="79" t="s">
        <v>460</v>
      </c>
      <c r="I25" s="83" t="s">
        <v>1316</v>
      </c>
      <c r="J25" s="79" t="s">
        <v>1297</v>
      </c>
      <c r="K25" s="79" t="s">
        <v>352</v>
      </c>
      <c r="L25" s="79" t="s">
        <v>349</v>
      </c>
      <c r="M25" s="79"/>
      <c r="N25" s="14" t="s">
        <v>1317</v>
      </c>
      <c r="O25" s="79" t="s">
        <v>349</v>
      </c>
    </row>
    <row r="26" spans="1:15" ht="33.35" x14ac:dyDescent="0.65">
      <c r="A26" s="14" t="s">
        <v>1244</v>
      </c>
      <c r="B26" s="14" t="s">
        <v>1230</v>
      </c>
      <c r="C26" s="14" t="s">
        <v>1231</v>
      </c>
      <c r="D26" s="24" t="s">
        <v>1235</v>
      </c>
      <c r="E26" s="67" t="s">
        <v>1234</v>
      </c>
      <c r="F26" s="14" t="s">
        <v>434</v>
      </c>
      <c r="G26" s="14" t="s">
        <v>430</v>
      </c>
      <c r="H26" s="14" t="s">
        <v>460</v>
      </c>
      <c r="I26" s="14" t="s">
        <v>352</v>
      </c>
      <c r="J26" s="14" t="s">
        <v>352</v>
      </c>
      <c r="K26" s="14" t="s">
        <v>352</v>
      </c>
      <c r="L26" s="12" t="s">
        <v>349</v>
      </c>
      <c r="M26" s="12"/>
      <c r="N26" s="14" t="s">
        <v>1318</v>
      </c>
      <c r="O26" s="79" t="s">
        <v>349</v>
      </c>
    </row>
    <row r="27" spans="1:15" ht="33.35" x14ac:dyDescent="0.65">
      <c r="A27" s="14" t="s">
        <v>1257</v>
      </c>
      <c r="B27" s="14" t="s">
        <v>1258</v>
      </c>
      <c r="C27" s="14" t="s">
        <v>1259</v>
      </c>
      <c r="D27" s="68" t="s">
        <v>1260</v>
      </c>
      <c r="E27" s="67" t="s">
        <v>1261</v>
      </c>
      <c r="F27" s="14" t="s">
        <v>434</v>
      </c>
      <c r="G27" s="14" t="s">
        <v>430</v>
      </c>
      <c r="H27" s="14" t="s">
        <v>456</v>
      </c>
      <c r="I27" s="14" t="s">
        <v>352</v>
      </c>
      <c r="J27" s="14" t="s">
        <v>352</v>
      </c>
      <c r="K27" s="14" t="s">
        <v>352</v>
      </c>
      <c r="L27" s="12" t="s">
        <v>349</v>
      </c>
      <c r="M27" s="12"/>
      <c r="N27" s="24" t="s">
        <v>1319</v>
      </c>
      <c r="O27" s="79" t="s">
        <v>349</v>
      </c>
    </row>
    <row r="28" spans="1:15" x14ac:dyDescent="0.65">
      <c r="A28" s="1"/>
      <c r="B28" s="2"/>
      <c r="C28" s="2"/>
      <c r="D28" s="74"/>
      <c r="E28" s="75"/>
      <c r="F28" s="2"/>
      <c r="G28" s="2"/>
      <c r="H28" s="2"/>
    </row>
  </sheetData>
  <phoneticPr fontId="2" type="noConversion"/>
  <dataValidations count="1">
    <dataValidation type="list" allowBlank="1" showInputMessage="1" showErrorMessage="1" sqref="B17:B23 B2:B12" xr:uid="{00000000-0002-0000-0300-000000000000}">
      <formula1>$B$11:$B$28</formula1>
    </dataValidation>
  </dataValidations>
  <hyperlinks>
    <hyperlink ref="E13" r:id="rId1" xr:uid="{00000000-0004-0000-0300-000000000000}"/>
    <hyperlink ref="E15" r:id="rId2" xr:uid="{00000000-0004-0000-0300-000001000000}"/>
    <hyperlink ref="E2" r:id="rId3" xr:uid="{00000000-0004-0000-0300-000002000000}"/>
    <hyperlink ref="E18" r:id="rId4" xr:uid="{00000000-0004-0000-0300-000003000000}"/>
    <hyperlink ref="E19" r:id="rId5" xr:uid="{00000000-0004-0000-0300-000004000000}"/>
    <hyperlink ref="D13" r:id="rId6" xr:uid="{00000000-0004-0000-0300-000005000000}"/>
    <hyperlink ref="D15" r:id="rId7" xr:uid="{00000000-0004-0000-0300-000006000000}"/>
    <hyperlink ref="D18" r:id="rId8" xr:uid="{00000000-0004-0000-0300-000008000000}"/>
    <hyperlink ref="D19" r:id="rId9" xr:uid="{00000000-0004-0000-0300-000009000000}"/>
    <hyperlink ref="D17" r:id="rId10" xr:uid="{00000000-0004-0000-0300-00000A000000}"/>
    <hyperlink ref="E17" r:id="rId11" xr:uid="{00000000-0004-0000-0300-00000B000000}"/>
    <hyperlink ref="D20" r:id="rId12" xr:uid="{00000000-0004-0000-0300-00000C000000}"/>
    <hyperlink ref="E20" r:id="rId13" xr:uid="{00000000-0004-0000-0300-00000D000000}"/>
    <hyperlink ref="D16" r:id="rId14" location="searchPopulation" xr:uid="{00000000-0004-0000-0300-00000E000000}"/>
    <hyperlink ref="E22" r:id="rId15" xr:uid="{00000000-0004-0000-0300-00000F000000}"/>
    <hyperlink ref="D14" r:id="rId16" xr:uid="{00000000-0004-0000-0300-000010000000}"/>
    <hyperlink ref="E26" r:id="rId17" xr:uid="{00000000-0004-0000-0300-000011000000}"/>
    <hyperlink ref="E27" r:id="rId18" xr:uid="{00000000-0004-0000-0300-000012000000}"/>
    <hyperlink ref="E11" r:id="rId19" xr:uid="{00000000-0004-0000-0300-000013000000}"/>
    <hyperlink ref="E12" r:id="rId20" xr:uid="{00000000-0004-0000-0300-000014000000}"/>
    <hyperlink ref="D22" r:id="rId21" xr:uid="{00000000-0004-0000-0300-000015000000}"/>
    <hyperlink ref="E14" r:id="rId22" xr:uid="{00000000-0004-0000-0300-000016000000}"/>
    <hyperlink ref="E24" r:id="rId23" xr:uid="{00000000-0004-0000-0300-000017000000}"/>
    <hyperlink ref="D23" r:id="rId24" xr:uid="{00000000-0004-0000-0300-000018000000}"/>
    <hyperlink ref="E3" r:id="rId25" xr:uid="{00000000-0004-0000-0300-000019000000}"/>
    <hyperlink ref="E16" r:id="rId26" xr:uid="{00000000-0004-0000-0300-00001A000000}"/>
    <hyperlink ref="D3" r:id="rId27" xr:uid="{B649050E-2CD8-407D-93E2-2B994744740E}"/>
    <hyperlink ref="D2" r:id="rId28" xr:uid="{EDC4151C-3A96-44A3-95F6-15A88F9CD6B0}"/>
    <hyperlink ref="E4" r:id="rId29" xr:uid="{52DF5C9A-903B-442C-82FA-357569EB890F}"/>
    <hyperlink ref="E5" r:id="rId30" xr:uid="{90F10683-7BAC-49CB-9108-4E64DC1ED424}"/>
    <hyperlink ref="E6" r:id="rId31" xr:uid="{CCF31BCF-9982-4F6A-9A1B-405BA57CE696}"/>
    <hyperlink ref="D21" r:id="rId32" xr:uid="{44E48A6C-57D3-40E3-AA73-35226BB70924}"/>
    <hyperlink ref="D24" r:id="rId33" xr:uid="{7BB1B6B6-FF02-4639-B2E6-6176460B8E62}"/>
    <hyperlink ref="E8" r:id="rId34" xr:uid="{FAFE629B-5ACF-498A-A470-9474430D0673}"/>
  </hyperlinks>
  <pageMargins left="0.7" right="0.7" top="0.75" bottom="0.75" header="0.3" footer="0.3"/>
  <pageSetup paperSize="9" scale="51" orientation="landscape" r:id="rId3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6"/>
  <sheetViews>
    <sheetView workbookViewId="0">
      <selection activeCell="D17" sqref="D17"/>
    </sheetView>
  </sheetViews>
  <sheetFormatPr defaultRowHeight="16.7" x14ac:dyDescent="0.65"/>
  <cols>
    <col min="2" max="2" width="25.38671875" style="23" bestFit="1" customWidth="1"/>
    <col min="3" max="3" width="71.609375" bestFit="1" customWidth="1"/>
    <col min="4" max="4" width="67.5" bestFit="1" customWidth="1"/>
    <col min="5" max="5" width="9.21875" bestFit="1" customWidth="1"/>
  </cols>
  <sheetData>
    <row r="1" spans="1:5" x14ac:dyDescent="0.65">
      <c r="A1" s="52" t="s">
        <v>74</v>
      </c>
      <c r="B1" s="52" t="s">
        <v>276</v>
      </c>
      <c r="C1" s="52" t="s">
        <v>30</v>
      </c>
      <c r="D1" s="52" t="s">
        <v>1245</v>
      </c>
      <c r="E1" s="7" t="s">
        <v>1246</v>
      </c>
    </row>
    <row r="2" spans="1:5" x14ac:dyDescent="0.65">
      <c r="A2" s="2"/>
      <c r="B2" s="1" t="s">
        <v>33</v>
      </c>
      <c r="C2" s="1" t="s">
        <v>152</v>
      </c>
      <c r="D2" s="76" t="s">
        <v>148</v>
      </c>
      <c r="E2" s="2" t="s">
        <v>1247</v>
      </c>
    </row>
    <row r="3" spans="1:5" x14ac:dyDescent="0.65">
      <c r="A3" s="2"/>
      <c r="B3" s="1" t="s">
        <v>1248</v>
      </c>
      <c r="C3" s="5" t="s">
        <v>1249</v>
      </c>
      <c r="D3" s="22" t="s">
        <v>1250</v>
      </c>
      <c r="E3" s="2" t="s">
        <v>1247</v>
      </c>
    </row>
    <row r="4" spans="1:5" x14ac:dyDescent="0.65">
      <c r="A4" s="2"/>
      <c r="B4" s="1" t="s">
        <v>1248</v>
      </c>
      <c r="C4" s="5" t="s">
        <v>1251</v>
      </c>
      <c r="D4" s="22" t="s">
        <v>1255</v>
      </c>
      <c r="E4" s="2" t="s">
        <v>1247</v>
      </c>
    </row>
    <row r="5" spans="1:5" x14ac:dyDescent="0.65">
      <c r="A5" s="2"/>
      <c r="B5" s="1" t="s">
        <v>1248</v>
      </c>
      <c r="C5" s="1" t="s">
        <v>1252</v>
      </c>
      <c r="D5" s="1" t="s">
        <v>1253</v>
      </c>
      <c r="E5" s="2" t="s">
        <v>1247</v>
      </c>
    </row>
    <row r="6" spans="1:5" x14ac:dyDescent="0.65">
      <c r="A6" s="3"/>
      <c r="B6" s="5" t="s">
        <v>141</v>
      </c>
      <c r="C6" s="5" t="s">
        <v>142</v>
      </c>
      <c r="D6" s="77" t="s">
        <v>1256</v>
      </c>
      <c r="E6" s="3" t="s">
        <v>430</v>
      </c>
    </row>
  </sheetData>
  <phoneticPr fontId="2" type="noConversion"/>
  <dataValidations count="1">
    <dataValidation type="list" allowBlank="1" showInputMessage="1" showErrorMessage="1" sqref="B6 B2" xr:uid="{00000000-0002-0000-0400-000000000000}">
      <formula1>#REF!</formula1>
    </dataValidation>
  </dataValidations>
  <hyperlinks>
    <hyperlink ref="D2" r:id="rId1" xr:uid="{00000000-0004-0000-0400-000000000000}"/>
    <hyperlink ref="D3" r:id="rId2" xr:uid="{00000000-0004-0000-0400-000001000000}"/>
    <hyperlink ref="D6" r:id="rId3" xr:uid="{00000000-0004-0000-0400-000002000000}"/>
    <hyperlink ref="D4" r:id="rId4" xr:uid="{00000000-0004-0000-0400-000003000000}"/>
  </hyperlinks>
  <pageMargins left="0.7" right="0.7" top="0.75" bottom="0.75" header="0.3" footer="0.3"/>
  <pageSetup paperSize="9" orientation="portrait" r:id="rId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2:L23"/>
  <sheetViews>
    <sheetView zoomScale="66" zoomScaleNormal="40" workbookViewId="0">
      <selection activeCell="D8" sqref="D8"/>
    </sheetView>
  </sheetViews>
  <sheetFormatPr defaultColWidth="11" defaultRowHeight="16.7" x14ac:dyDescent="0.65"/>
  <cols>
    <col min="2" max="2" width="44.88671875" customWidth="1"/>
    <col min="3" max="3" width="29.109375" customWidth="1"/>
    <col min="4" max="4" width="61" customWidth="1"/>
    <col min="5" max="5" width="14.609375" bestFit="1" customWidth="1"/>
    <col min="7" max="7" width="21.109375" bestFit="1" customWidth="1"/>
    <col min="8" max="8" width="25.609375" customWidth="1"/>
    <col min="9" max="9" width="52.109375" customWidth="1"/>
    <col min="11" max="11" width="49.109375" customWidth="1"/>
    <col min="12" max="12" width="85.5" customWidth="1"/>
  </cols>
  <sheetData>
    <row r="2" spans="1:12" ht="29.1" customHeight="1" x14ac:dyDescent="0.65">
      <c r="B2" s="52" t="s">
        <v>315</v>
      </c>
      <c r="C2" s="52" t="s">
        <v>316</v>
      </c>
      <c r="D2" s="52" t="s">
        <v>30</v>
      </c>
      <c r="E2" s="52" t="s">
        <v>342</v>
      </c>
      <c r="F2" s="53" t="s">
        <v>343</v>
      </c>
      <c r="G2" s="53" t="s">
        <v>344</v>
      </c>
      <c r="H2" s="53" t="s">
        <v>345</v>
      </c>
      <c r="I2" s="53" t="s">
        <v>346</v>
      </c>
      <c r="J2" s="53" t="s">
        <v>347</v>
      </c>
      <c r="K2" s="53" t="s">
        <v>375</v>
      </c>
      <c r="L2" s="53" t="s">
        <v>387</v>
      </c>
    </row>
    <row r="3" spans="1:12" ht="110.25" customHeight="1" x14ac:dyDescent="0.65">
      <c r="A3" s="14" t="s">
        <v>1213</v>
      </c>
      <c r="B3" s="11" t="s">
        <v>1210</v>
      </c>
      <c r="C3" s="11" t="s">
        <v>102</v>
      </c>
      <c r="D3" s="11" t="s">
        <v>324</v>
      </c>
      <c r="E3" s="11" t="s">
        <v>348</v>
      </c>
      <c r="F3" s="35" t="s">
        <v>349</v>
      </c>
      <c r="G3" s="35" t="s">
        <v>350</v>
      </c>
      <c r="H3" s="19" t="s">
        <v>388</v>
      </c>
      <c r="I3" s="36" t="s">
        <v>351</v>
      </c>
      <c r="J3" s="1" t="s">
        <v>352</v>
      </c>
      <c r="K3" s="36" t="s">
        <v>376</v>
      </c>
      <c r="L3" s="9" t="s">
        <v>389</v>
      </c>
    </row>
    <row r="4" spans="1:12" ht="110.25" customHeight="1" x14ac:dyDescent="0.65">
      <c r="A4" s="14" t="s">
        <v>1221</v>
      </c>
      <c r="B4" s="4" t="s">
        <v>317</v>
      </c>
      <c r="C4" s="4"/>
      <c r="D4" s="4" t="s">
        <v>1211</v>
      </c>
      <c r="E4" s="1" t="s">
        <v>353</v>
      </c>
      <c r="F4" s="36"/>
      <c r="G4" s="36"/>
      <c r="H4" s="36"/>
      <c r="I4" s="36" t="s">
        <v>354</v>
      </c>
      <c r="J4" s="1" t="s">
        <v>352</v>
      </c>
      <c r="K4" s="9" t="s">
        <v>377</v>
      </c>
      <c r="L4" s="9" t="s">
        <v>390</v>
      </c>
    </row>
    <row r="5" spans="1:12" ht="110.25" customHeight="1" x14ac:dyDescent="0.65">
      <c r="A5" s="14" t="s">
        <v>1221</v>
      </c>
      <c r="B5" s="11" t="s">
        <v>318</v>
      </c>
      <c r="C5" s="11" t="s">
        <v>102</v>
      </c>
      <c r="D5" s="11" t="s">
        <v>319</v>
      </c>
      <c r="E5" s="11" t="s">
        <v>355</v>
      </c>
      <c r="F5" s="36"/>
      <c r="G5" s="36"/>
      <c r="H5" s="36"/>
      <c r="I5" s="36" t="s">
        <v>1212</v>
      </c>
      <c r="J5" s="1" t="s">
        <v>356</v>
      </c>
      <c r="K5" s="1"/>
      <c r="L5" s="9" t="s">
        <v>391</v>
      </c>
    </row>
    <row r="6" spans="1:12" ht="110.25" customHeight="1" x14ac:dyDescent="0.65">
      <c r="A6" s="72" t="s">
        <v>1223</v>
      </c>
      <c r="B6" s="1" t="s">
        <v>320</v>
      </c>
      <c r="C6" s="1" t="s">
        <v>321</v>
      </c>
      <c r="D6" s="1" t="s">
        <v>322</v>
      </c>
      <c r="E6" s="1" t="s">
        <v>355</v>
      </c>
      <c r="F6" s="36" t="s">
        <v>349</v>
      </c>
      <c r="G6" s="36" t="s">
        <v>357</v>
      </c>
      <c r="H6" s="19" t="s">
        <v>1203</v>
      </c>
      <c r="I6" s="36" t="s">
        <v>358</v>
      </c>
      <c r="J6" s="36" t="s">
        <v>352</v>
      </c>
      <c r="K6" s="9" t="s">
        <v>378</v>
      </c>
      <c r="L6" s="9" t="s">
        <v>392</v>
      </c>
    </row>
    <row r="7" spans="1:12" ht="110.25" customHeight="1" x14ac:dyDescent="0.65">
      <c r="A7" s="12" t="s">
        <v>1226</v>
      </c>
      <c r="B7" s="1" t="s">
        <v>429</v>
      </c>
      <c r="C7" s="1" t="s">
        <v>323</v>
      </c>
      <c r="D7" s="1" t="s">
        <v>324</v>
      </c>
      <c r="E7" s="1" t="s">
        <v>355</v>
      </c>
      <c r="F7" s="36" t="s">
        <v>352</v>
      </c>
      <c r="G7" s="36" t="s">
        <v>357</v>
      </c>
      <c r="H7" s="19" t="s">
        <v>421</v>
      </c>
      <c r="I7" s="36" t="s">
        <v>359</v>
      </c>
      <c r="J7" s="36" t="s">
        <v>349</v>
      </c>
      <c r="K7" s="36" t="s">
        <v>379</v>
      </c>
      <c r="L7" s="9" t="s">
        <v>426</v>
      </c>
    </row>
    <row r="8" spans="1:12" ht="110.25" customHeight="1" x14ac:dyDescent="0.65">
      <c r="A8" s="71" t="s">
        <v>349</v>
      </c>
      <c r="B8" s="1" t="s">
        <v>5</v>
      </c>
      <c r="C8" s="1" t="s">
        <v>325</v>
      </c>
      <c r="D8" s="1" t="s">
        <v>326</v>
      </c>
      <c r="E8" s="1" t="s">
        <v>355</v>
      </c>
      <c r="F8" s="36"/>
      <c r="G8" s="36"/>
      <c r="H8" s="36"/>
      <c r="I8" s="36"/>
      <c r="J8" s="1"/>
      <c r="K8" s="8" t="s">
        <v>380</v>
      </c>
      <c r="L8" s="9" t="s">
        <v>425</v>
      </c>
    </row>
    <row r="9" spans="1:12" ht="110.25" customHeight="1" x14ac:dyDescent="0.65">
      <c r="A9" s="72" t="s">
        <v>1237</v>
      </c>
      <c r="B9" s="1" t="s">
        <v>327</v>
      </c>
      <c r="C9" s="1" t="s">
        <v>328</v>
      </c>
      <c r="D9" s="1" t="s">
        <v>329</v>
      </c>
      <c r="E9" s="1" t="s">
        <v>355</v>
      </c>
      <c r="F9" s="36"/>
      <c r="G9" s="36"/>
      <c r="H9" s="36"/>
      <c r="I9" s="36"/>
      <c r="J9" s="1"/>
      <c r="K9" s="9" t="s">
        <v>381</v>
      </c>
      <c r="L9" s="1"/>
    </row>
    <row r="10" spans="1:12" ht="110.25" customHeight="1" x14ac:dyDescent="0.65">
      <c r="A10" s="14" t="s">
        <v>1216</v>
      </c>
      <c r="B10" s="11" t="s">
        <v>383</v>
      </c>
      <c r="C10" s="11" t="s">
        <v>382</v>
      </c>
      <c r="D10" s="11" t="s">
        <v>360</v>
      </c>
      <c r="E10" s="1" t="s">
        <v>355</v>
      </c>
      <c r="F10" s="35" t="s">
        <v>352</v>
      </c>
      <c r="G10" s="36" t="s">
        <v>361</v>
      </c>
      <c r="H10" s="19" t="s">
        <v>395</v>
      </c>
      <c r="I10" s="36" t="s">
        <v>362</v>
      </c>
      <c r="J10" s="36" t="s">
        <v>352</v>
      </c>
      <c r="K10" s="9" t="s">
        <v>384</v>
      </c>
      <c r="L10" s="57" t="s">
        <v>420</v>
      </c>
    </row>
    <row r="11" spans="1:12" ht="110.25" customHeight="1" x14ac:dyDescent="0.65">
      <c r="A11" s="14" t="s">
        <v>1215</v>
      </c>
      <c r="B11" s="11" t="s">
        <v>330</v>
      </c>
      <c r="C11" s="11" t="s">
        <v>299</v>
      </c>
      <c r="D11" s="11" t="s">
        <v>331</v>
      </c>
      <c r="E11" s="1" t="s">
        <v>355</v>
      </c>
      <c r="F11" s="35" t="s">
        <v>352</v>
      </c>
      <c r="G11" s="35" t="s">
        <v>357</v>
      </c>
      <c r="H11" s="19" t="s">
        <v>396</v>
      </c>
      <c r="I11" s="36" t="s">
        <v>363</v>
      </c>
      <c r="J11" s="1" t="s">
        <v>352</v>
      </c>
      <c r="K11" s="1"/>
      <c r="L11" s="57" t="s">
        <v>419</v>
      </c>
    </row>
    <row r="12" spans="1:12" ht="110.25" customHeight="1" x14ac:dyDescent="0.65">
      <c r="A12" s="73" t="s">
        <v>1236</v>
      </c>
      <c r="B12" s="4" t="s">
        <v>332</v>
      </c>
      <c r="C12" s="4" t="s">
        <v>333</v>
      </c>
      <c r="D12" s="4" t="s">
        <v>334</v>
      </c>
      <c r="E12" s="1" t="s">
        <v>355</v>
      </c>
      <c r="F12" s="36"/>
      <c r="G12" s="36"/>
      <c r="H12" s="36"/>
      <c r="I12" s="36"/>
      <c r="J12" s="1"/>
      <c r="K12" s="8" t="s">
        <v>393</v>
      </c>
      <c r="L12" s="9" t="s">
        <v>394</v>
      </c>
    </row>
    <row r="13" spans="1:12" ht="110.25" customHeight="1" x14ac:dyDescent="0.65">
      <c r="A13" s="14" t="s">
        <v>1219</v>
      </c>
      <c r="B13" s="11" t="s">
        <v>335</v>
      </c>
      <c r="C13" s="11" t="s">
        <v>336</v>
      </c>
      <c r="D13" s="11" t="s">
        <v>337</v>
      </c>
      <c r="E13" s="1" t="s">
        <v>364</v>
      </c>
      <c r="F13" s="35" t="s">
        <v>352</v>
      </c>
      <c r="G13" s="35" t="s">
        <v>357</v>
      </c>
      <c r="H13" s="19" t="s">
        <v>445</v>
      </c>
      <c r="I13" s="36" t="s">
        <v>365</v>
      </c>
      <c r="J13" s="1" t="s">
        <v>352</v>
      </c>
      <c r="K13" s="1"/>
      <c r="L13" s="16" t="s">
        <v>424</v>
      </c>
    </row>
    <row r="14" spans="1:12" ht="110.25" customHeight="1" x14ac:dyDescent="0.65">
      <c r="A14" s="71" t="s">
        <v>349</v>
      </c>
      <c r="B14" s="1" t="s">
        <v>338</v>
      </c>
      <c r="C14" s="1" t="s">
        <v>151</v>
      </c>
      <c r="D14" s="1" t="s">
        <v>339</v>
      </c>
      <c r="E14" s="1" t="s">
        <v>355</v>
      </c>
      <c r="F14" s="36"/>
      <c r="G14" s="36"/>
      <c r="H14" s="36"/>
      <c r="I14" s="36"/>
      <c r="J14" s="1"/>
      <c r="K14" s="8" t="s">
        <v>385</v>
      </c>
      <c r="L14" s="9" t="s">
        <v>423</v>
      </c>
    </row>
    <row r="15" spans="1:12" ht="110.25" customHeight="1" x14ac:dyDescent="0.65">
      <c r="A15" s="14" t="s">
        <v>1222</v>
      </c>
      <c r="B15" s="54" t="s">
        <v>444</v>
      </c>
      <c r="C15" s="54" t="s">
        <v>340</v>
      </c>
      <c r="D15" s="54" t="s">
        <v>443</v>
      </c>
      <c r="E15" s="1" t="s">
        <v>355</v>
      </c>
      <c r="F15" s="35" t="s">
        <v>352</v>
      </c>
      <c r="G15" s="35" t="s">
        <v>357</v>
      </c>
      <c r="H15" s="19" t="s">
        <v>366</v>
      </c>
      <c r="I15" s="1"/>
      <c r="J15" s="1" t="s">
        <v>352</v>
      </c>
      <c r="K15" s="1"/>
      <c r="L15" s="16" t="s">
        <v>427</v>
      </c>
    </row>
    <row r="16" spans="1:12" ht="110.25" customHeight="1" x14ac:dyDescent="0.65">
      <c r="A16" s="14" t="s">
        <v>1217</v>
      </c>
      <c r="B16" s="1" t="s">
        <v>367</v>
      </c>
      <c r="C16" s="1"/>
      <c r="D16" s="1" t="s">
        <v>368</v>
      </c>
      <c r="E16" s="1"/>
      <c r="F16" s="36" t="s">
        <v>352</v>
      </c>
      <c r="G16" s="36" t="s">
        <v>357</v>
      </c>
      <c r="H16" s="19" t="s">
        <v>369</v>
      </c>
      <c r="I16" s="55" t="s">
        <v>370</v>
      </c>
      <c r="J16" s="1" t="s">
        <v>352</v>
      </c>
      <c r="K16" s="1"/>
      <c r="L16" s="16" t="s">
        <v>422</v>
      </c>
    </row>
    <row r="17" spans="1:12" ht="110.25" customHeight="1" x14ac:dyDescent="0.65">
      <c r="A17" s="66"/>
      <c r="B17" s="63" t="s">
        <v>371</v>
      </c>
      <c r="C17" s="63" t="s">
        <v>77</v>
      </c>
      <c r="D17" s="63" t="s">
        <v>372</v>
      </c>
      <c r="E17" s="63" t="s">
        <v>355</v>
      </c>
      <c r="F17" s="64" t="s">
        <v>349</v>
      </c>
      <c r="G17" s="64" t="s">
        <v>373</v>
      </c>
      <c r="H17" s="64" t="s">
        <v>1202</v>
      </c>
      <c r="I17" s="64" t="s">
        <v>374</v>
      </c>
      <c r="J17" s="63" t="s">
        <v>349</v>
      </c>
      <c r="K17" s="65" t="s">
        <v>386</v>
      </c>
      <c r="L17" s="65" t="s">
        <v>1209</v>
      </c>
    </row>
    <row r="18" spans="1:12" ht="21" customHeight="1" x14ac:dyDescent="0.65"/>
    <row r="19" spans="1:12" ht="21" customHeight="1" x14ac:dyDescent="0.65"/>
    <row r="20" spans="1:12" ht="67.5" customHeight="1" x14ac:dyDescent="0.65">
      <c r="B20" s="88" t="s">
        <v>341</v>
      </c>
      <c r="C20" s="88"/>
      <c r="D20" s="20"/>
    </row>
    <row r="21" spans="1:12" ht="21" customHeight="1" x14ac:dyDescent="0.65">
      <c r="B21" s="88"/>
      <c r="C21" s="88"/>
    </row>
    <row r="22" spans="1:12" ht="21" customHeight="1" x14ac:dyDescent="0.65">
      <c r="B22" s="88"/>
      <c r="C22" s="88"/>
    </row>
    <row r="23" spans="1:12" x14ac:dyDescent="0.65">
      <c r="B23" s="88"/>
      <c r="C23" s="88"/>
    </row>
  </sheetData>
  <mergeCells count="1">
    <mergeCell ref="B20:C23"/>
  </mergeCells>
  <phoneticPr fontId="2" type="noConversion"/>
  <hyperlinks>
    <hyperlink ref="H16" r:id="rId1" location="tab_layer_prcuse_exam" xr:uid="{00000000-0004-0000-0500-000000000000}"/>
    <hyperlink ref="H15" r:id="rId2" xr:uid="{00000000-0004-0000-0500-000001000000}"/>
    <hyperlink ref="H3" r:id="rId3" xr:uid="{00000000-0004-0000-0500-000002000000}"/>
    <hyperlink ref="H10" r:id="rId4" xr:uid="{00000000-0004-0000-0500-000003000000}"/>
    <hyperlink ref="H11" r:id="rId5" xr:uid="{00000000-0004-0000-0500-000004000000}"/>
    <hyperlink ref="H7" r:id="rId6" xr:uid="{00000000-0004-0000-0500-000005000000}"/>
    <hyperlink ref="H13" r:id="rId7" xr:uid="{00000000-0004-0000-0500-000006000000}"/>
    <hyperlink ref="H17" r:id="rId8" xr:uid="{00000000-0004-0000-0500-000007000000}"/>
    <hyperlink ref="H6" r:id="rId9" xr:uid="{00000000-0004-0000-0500-000008000000}"/>
  </hyperlinks>
  <pageMargins left="0.7" right="0.7" top="0.75" bottom="0.75" header="0.3" footer="0.3"/>
  <pageSetup paperSize="9" orientation="portrait" r:id="rId1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21"/>
  <sheetViews>
    <sheetView workbookViewId="0">
      <selection activeCell="A4" sqref="A4:B20"/>
    </sheetView>
  </sheetViews>
  <sheetFormatPr defaultRowHeight="16.7" x14ac:dyDescent="0.65"/>
  <sheetData>
    <row r="1" spans="1:2" x14ac:dyDescent="0.65">
      <c r="A1" s="89" t="s">
        <v>418</v>
      </c>
      <c r="B1" s="89"/>
    </row>
    <row r="2" spans="1:2" x14ac:dyDescent="0.65">
      <c r="A2" s="56" t="s">
        <v>417</v>
      </c>
      <c r="B2" s="56"/>
    </row>
    <row r="3" spans="1:2" x14ac:dyDescent="0.65">
      <c r="A3" s="2" t="s">
        <v>397</v>
      </c>
      <c r="B3" s="2" t="s">
        <v>398</v>
      </c>
    </row>
    <row r="4" spans="1:2" x14ac:dyDescent="0.65">
      <c r="A4" s="2" t="s">
        <v>399</v>
      </c>
      <c r="B4" s="2">
        <v>40</v>
      </c>
    </row>
    <row r="5" spans="1:2" x14ac:dyDescent="0.65">
      <c r="A5" s="2" t="s">
        <v>400</v>
      </c>
      <c r="B5" s="2">
        <v>127</v>
      </c>
    </row>
    <row r="6" spans="1:2" x14ac:dyDescent="0.65">
      <c r="A6" s="2" t="s">
        <v>401</v>
      </c>
      <c r="B6" s="2">
        <v>42</v>
      </c>
    </row>
    <row r="7" spans="1:2" x14ac:dyDescent="0.65">
      <c r="A7" s="2" t="s">
        <v>402</v>
      </c>
      <c r="B7" s="2">
        <v>40</v>
      </c>
    </row>
    <row r="8" spans="1:2" x14ac:dyDescent="0.65">
      <c r="A8" s="2" t="s">
        <v>403</v>
      </c>
      <c r="B8" s="2">
        <v>34</v>
      </c>
    </row>
    <row r="9" spans="1:2" x14ac:dyDescent="0.65">
      <c r="A9" s="2" t="s">
        <v>404</v>
      </c>
      <c r="B9" s="2">
        <v>53</v>
      </c>
    </row>
    <row r="10" spans="1:2" x14ac:dyDescent="0.65">
      <c r="A10" s="2" t="s">
        <v>405</v>
      </c>
      <c r="B10" s="2">
        <v>14</v>
      </c>
    </row>
    <row r="11" spans="1:2" x14ac:dyDescent="0.65">
      <c r="A11" s="2" t="s">
        <v>406</v>
      </c>
      <c r="B11" s="2">
        <v>6</v>
      </c>
    </row>
    <row r="12" spans="1:2" x14ac:dyDescent="0.65">
      <c r="A12" s="2" t="s">
        <v>407</v>
      </c>
      <c r="B12" s="2">
        <v>53</v>
      </c>
    </row>
    <row r="13" spans="1:2" x14ac:dyDescent="0.65">
      <c r="A13" s="2" t="s">
        <v>408</v>
      </c>
      <c r="B13" s="2">
        <v>50</v>
      </c>
    </row>
    <row r="14" spans="1:2" x14ac:dyDescent="0.65">
      <c r="A14" s="2" t="s">
        <v>409</v>
      </c>
      <c r="B14" s="2">
        <v>48</v>
      </c>
    </row>
    <row r="15" spans="1:2" x14ac:dyDescent="0.65">
      <c r="A15" s="2" t="s">
        <v>410</v>
      </c>
      <c r="B15" s="2">
        <v>50</v>
      </c>
    </row>
    <row r="16" spans="1:2" x14ac:dyDescent="0.65">
      <c r="A16" s="2" t="s">
        <v>411</v>
      </c>
      <c r="B16" s="2">
        <v>16</v>
      </c>
    </row>
    <row r="17" spans="1:2" x14ac:dyDescent="0.65">
      <c r="A17" s="2" t="s">
        <v>412</v>
      </c>
      <c r="B17" s="2">
        <v>29</v>
      </c>
    </row>
    <row r="18" spans="1:2" x14ac:dyDescent="0.65">
      <c r="A18" s="2" t="s">
        <v>413</v>
      </c>
      <c r="B18" s="2">
        <v>23</v>
      </c>
    </row>
    <row r="19" spans="1:2" x14ac:dyDescent="0.65">
      <c r="A19" s="2" t="s">
        <v>414</v>
      </c>
      <c r="B19" s="2">
        <v>35</v>
      </c>
    </row>
    <row r="20" spans="1:2" x14ac:dyDescent="0.65">
      <c r="A20" s="2" t="s">
        <v>415</v>
      </c>
      <c r="B20" s="2">
        <v>14</v>
      </c>
    </row>
    <row r="21" spans="1:2" x14ac:dyDescent="0.65">
      <c r="A21" s="2" t="s">
        <v>416</v>
      </c>
      <c r="B21" s="2">
        <f>SUM(B4:B20)</f>
        <v>674</v>
      </c>
    </row>
  </sheetData>
  <mergeCells count="1">
    <mergeCell ref="A1:B1"/>
  </mergeCells>
  <phoneticPr fontId="2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filterMode="1"/>
  <dimension ref="A1:D295"/>
  <sheetViews>
    <sheetView workbookViewId="0">
      <selection activeCell="C220" sqref="C220"/>
    </sheetView>
  </sheetViews>
  <sheetFormatPr defaultRowHeight="16.7" x14ac:dyDescent="0.65"/>
  <cols>
    <col min="2" max="2" width="80.109375" bestFit="1" customWidth="1"/>
    <col min="3" max="3" width="37.21875" bestFit="1" customWidth="1"/>
    <col min="4" max="4" width="7.38671875" bestFit="1" customWidth="1"/>
  </cols>
  <sheetData>
    <row r="1" spans="1:4" ht="33.35" x14ac:dyDescent="0.65">
      <c r="A1" s="62" t="s">
        <v>461</v>
      </c>
      <c r="B1" s="62" t="s">
        <v>495</v>
      </c>
      <c r="C1" s="62" t="s">
        <v>496</v>
      </c>
      <c r="D1" s="62" t="s">
        <v>851</v>
      </c>
    </row>
    <row r="2" spans="1:4" hidden="1" x14ac:dyDescent="0.65">
      <c r="A2" s="20" t="s">
        <v>462</v>
      </c>
      <c r="B2" s="20" t="s">
        <v>463</v>
      </c>
      <c r="C2" s="20" t="s">
        <v>497</v>
      </c>
      <c r="D2" s="20"/>
    </row>
    <row r="3" spans="1:4" hidden="1" x14ac:dyDescent="0.65">
      <c r="A3" s="20" t="s">
        <v>464</v>
      </c>
      <c r="B3" s="20" t="s">
        <v>465</v>
      </c>
      <c r="C3" s="20" t="s">
        <v>466</v>
      </c>
    </row>
    <row r="4" spans="1:4" hidden="1" x14ac:dyDescent="0.65">
      <c r="A4" s="20" t="s">
        <v>467</v>
      </c>
      <c r="B4" s="20" t="s">
        <v>468</v>
      </c>
      <c r="C4" s="20" t="s">
        <v>498</v>
      </c>
    </row>
    <row r="5" spans="1:4" hidden="1" x14ac:dyDescent="0.65">
      <c r="A5" s="20" t="s">
        <v>469</v>
      </c>
      <c r="B5" s="20" t="s">
        <v>470</v>
      </c>
      <c r="C5" s="20" t="s">
        <v>471</v>
      </c>
    </row>
    <row r="6" spans="1:4" hidden="1" x14ac:dyDescent="0.65">
      <c r="A6" s="20" t="s">
        <v>472</v>
      </c>
      <c r="B6" s="20" t="s">
        <v>473</v>
      </c>
      <c r="C6" s="20" t="s">
        <v>499</v>
      </c>
    </row>
    <row r="7" spans="1:4" hidden="1" x14ac:dyDescent="0.65">
      <c r="A7" s="20" t="s">
        <v>474</v>
      </c>
      <c r="B7" s="20" t="s">
        <v>475</v>
      </c>
      <c r="C7" s="20" t="s">
        <v>476</v>
      </c>
    </row>
    <row r="8" spans="1:4" hidden="1" x14ac:dyDescent="0.65">
      <c r="A8" s="20" t="s">
        <v>477</v>
      </c>
      <c r="B8" s="20" t="s">
        <v>478</v>
      </c>
      <c r="C8" s="20" t="s">
        <v>479</v>
      </c>
    </row>
    <row r="9" spans="1:4" hidden="1" x14ac:dyDescent="0.65">
      <c r="A9" s="20" t="s">
        <v>500</v>
      </c>
      <c r="B9" s="20" t="s">
        <v>501</v>
      </c>
      <c r="C9" s="20" t="s">
        <v>502</v>
      </c>
    </row>
    <row r="10" spans="1:4" hidden="1" x14ac:dyDescent="0.65">
      <c r="A10" s="20" t="s">
        <v>480</v>
      </c>
      <c r="B10" s="20" t="s">
        <v>481</v>
      </c>
      <c r="C10" s="20" t="s">
        <v>482</v>
      </c>
    </row>
    <row r="11" spans="1:4" hidden="1" x14ac:dyDescent="0.65">
      <c r="A11" s="20" t="s">
        <v>503</v>
      </c>
      <c r="B11" s="20" t="s">
        <v>504</v>
      </c>
      <c r="C11" s="20" t="s">
        <v>505</v>
      </c>
    </row>
    <row r="12" spans="1:4" hidden="1" x14ac:dyDescent="0.65">
      <c r="A12" s="20" t="s">
        <v>506</v>
      </c>
      <c r="B12" s="20" t="s">
        <v>507</v>
      </c>
      <c r="C12" s="20" t="s">
        <v>508</v>
      </c>
    </row>
    <row r="13" spans="1:4" hidden="1" x14ac:dyDescent="0.65">
      <c r="A13" s="20" t="s">
        <v>483</v>
      </c>
      <c r="B13" s="20" t="s">
        <v>484</v>
      </c>
      <c r="C13" s="20" t="s">
        <v>485</v>
      </c>
    </row>
    <row r="14" spans="1:4" hidden="1" x14ac:dyDescent="0.65">
      <c r="A14" s="20" t="s">
        <v>509</v>
      </c>
      <c r="B14" s="20" t="s">
        <v>510</v>
      </c>
      <c r="C14" s="20" t="s">
        <v>511</v>
      </c>
    </row>
    <row r="15" spans="1:4" hidden="1" x14ac:dyDescent="0.65">
      <c r="A15" s="20" t="s">
        <v>512</v>
      </c>
      <c r="B15" s="20" t="s">
        <v>513</v>
      </c>
      <c r="C15" s="20" t="s">
        <v>514</v>
      </c>
    </row>
    <row r="16" spans="1:4" hidden="1" x14ac:dyDescent="0.65">
      <c r="A16" s="20" t="s">
        <v>515</v>
      </c>
      <c r="B16" s="20" t="s">
        <v>516</v>
      </c>
      <c r="C16" s="20" t="s">
        <v>517</v>
      </c>
    </row>
    <row r="17" spans="1:3" hidden="1" x14ac:dyDescent="0.65">
      <c r="A17" s="20" t="s">
        <v>518</v>
      </c>
      <c r="B17" s="20" t="s">
        <v>519</v>
      </c>
      <c r="C17" s="20" t="s">
        <v>520</v>
      </c>
    </row>
    <row r="18" spans="1:3" hidden="1" x14ac:dyDescent="0.65">
      <c r="A18" s="20" t="s">
        <v>521</v>
      </c>
      <c r="B18" s="20" t="s">
        <v>522</v>
      </c>
      <c r="C18" s="20" t="s">
        <v>523</v>
      </c>
    </row>
    <row r="19" spans="1:3" hidden="1" x14ac:dyDescent="0.65">
      <c r="A19" s="20" t="s">
        <v>524</v>
      </c>
      <c r="B19" s="20" t="s">
        <v>525</v>
      </c>
      <c r="C19" s="20" t="s">
        <v>526</v>
      </c>
    </row>
    <row r="20" spans="1:3" hidden="1" x14ac:dyDescent="0.65">
      <c r="A20" s="20" t="s">
        <v>527</v>
      </c>
      <c r="B20" s="20" t="s">
        <v>528</v>
      </c>
      <c r="C20" s="20" t="s">
        <v>529</v>
      </c>
    </row>
    <row r="21" spans="1:3" hidden="1" x14ac:dyDescent="0.65">
      <c r="A21" s="20" t="s">
        <v>530</v>
      </c>
      <c r="B21" s="20" t="s">
        <v>531</v>
      </c>
      <c r="C21" s="20" t="s">
        <v>532</v>
      </c>
    </row>
    <row r="22" spans="1:3" hidden="1" x14ac:dyDescent="0.65">
      <c r="A22" s="20" t="s">
        <v>486</v>
      </c>
      <c r="B22" s="20" t="s">
        <v>487</v>
      </c>
      <c r="C22" s="20" t="s">
        <v>488</v>
      </c>
    </row>
    <row r="23" spans="1:3" hidden="1" x14ac:dyDescent="0.65">
      <c r="A23" s="20" t="s">
        <v>489</v>
      </c>
      <c r="B23" s="20" t="s">
        <v>490</v>
      </c>
      <c r="C23" s="20" t="s">
        <v>491</v>
      </c>
    </row>
    <row r="24" spans="1:3" hidden="1" x14ac:dyDescent="0.65">
      <c r="A24" s="20" t="s">
        <v>533</v>
      </c>
      <c r="B24" s="20" t="s">
        <v>534</v>
      </c>
      <c r="C24" s="20" t="s">
        <v>535</v>
      </c>
    </row>
    <row r="25" spans="1:3" hidden="1" x14ac:dyDescent="0.65">
      <c r="A25" s="20" t="s">
        <v>536</v>
      </c>
      <c r="B25" s="20" t="s">
        <v>537</v>
      </c>
      <c r="C25" s="20" t="s">
        <v>538</v>
      </c>
    </row>
    <row r="26" spans="1:3" hidden="1" x14ac:dyDescent="0.65">
      <c r="A26" s="20" t="s">
        <v>539</v>
      </c>
      <c r="B26" s="20" t="s">
        <v>540</v>
      </c>
      <c r="C26" s="20" t="s">
        <v>541</v>
      </c>
    </row>
    <row r="27" spans="1:3" hidden="1" x14ac:dyDescent="0.65">
      <c r="A27" s="20" t="s">
        <v>542</v>
      </c>
      <c r="B27" s="20" t="s">
        <v>543</v>
      </c>
      <c r="C27" s="20" t="s">
        <v>544</v>
      </c>
    </row>
    <row r="28" spans="1:3" hidden="1" x14ac:dyDescent="0.65">
      <c r="A28" s="20" t="s">
        <v>545</v>
      </c>
      <c r="B28" s="20" t="s">
        <v>546</v>
      </c>
      <c r="C28" s="20" t="s">
        <v>547</v>
      </c>
    </row>
    <row r="29" spans="1:3" hidden="1" x14ac:dyDescent="0.65">
      <c r="A29" s="20" t="s">
        <v>548</v>
      </c>
      <c r="B29" s="20" t="s">
        <v>549</v>
      </c>
      <c r="C29" s="20" t="s">
        <v>550</v>
      </c>
    </row>
    <row r="30" spans="1:3" hidden="1" x14ac:dyDescent="0.65">
      <c r="A30" s="20" t="s">
        <v>551</v>
      </c>
      <c r="B30" s="20" t="s">
        <v>552</v>
      </c>
      <c r="C30" s="20" t="s">
        <v>553</v>
      </c>
    </row>
    <row r="31" spans="1:3" hidden="1" x14ac:dyDescent="0.65">
      <c r="A31" s="20" t="s">
        <v>554</v>
      </c>
      <c r="B31" s="20" t="s">
        <v>555</v>
      </c>
      <c r="C31" s="20" t="s">
        <v>556</v>
      </c>
    </row>
    <row r="32" spans="1:3" hidden="1" x14ac:dyDescent="0.65">
      <c r="A32" s="20" t="s">
        <v>557</v>
      </c>
      <c r="B32" s="20" t="s">
        <v>558</v>
      </c>
      <c r="C32" s="20" t="s">
        <v>559</v>
      </c>
    </row>
    <row r="33" spans="1:3" hidden="1" x14ac:dyDescent="0.65">
      <c r="A33" s="20" t="s">
        <v>560</v>
      </c>
      <c r="B33" s="20" t="s">
        <v>561</v>
      </c>
      <c r="C33" s="20" t="s">
        <v>562</v>
      </c>
    </row>
    <row r="34" spans="1:3" hidden="1" x14ac:dyDescent="0.65">
      <c r="A34" s="20" t="s">
        <v>563</v>
      </c>
      <c r="B34" s="20" t="s">
        <v>564</v>
      </c>
      <c r="C34" s="20" t="s">
        <v>565</v>
      </c>
    </row>
    <row r="35" spans="1:3" hidden="1" x14ac:dyDescent="0.65">
      <c r="A35" s="20" t="s">
        <v>566</v>
      </c>
      <c r="B35" s="20" t="s">
        <v>567</v>
      </c>
      <c r="C35" s="20" t="s">
        <v>568</v>
      </c>
    </row>
    <row r="36" spans="1:3" hidden="1" x14ac:dyDescent="0.65">
      <c r="A36" s="20" t="s">
        <v>569</v>
      </c>
      <c r="B36" s="20" t="s">
        <v>570</v>
      </c>
      <c r="C36" s="20" t="s">
        <v>571</v>
      </c>
    </row>
    <row r="37" spans="1:3" hidden="1" x14ac:dyDescent="0.65">
      <c r="A37" s="20" t="s">
        <v>572</v>
      </c>
      <c r="B37" s="20" t="s">
        <v>573</v>
      </c>
      <c r="C37" s="20" t="s">
        <v>574</v>
      </c>
    </row>
    <row r="38" spans="1:3" hidden="1" x14ac:dyDescent="0.65">
      <c r="A38" s="20" t="s">
        <v>575</v>
      </c>
      <c r="B38" s="20" t="s">
        <v>576</v>
      </c>
      <c r="C38" s="20" t="s">
        <v>577</v>
      </c>
    </row>
    <row r="39" spans="1:3" hidden="1" x14ac:dyDescent="0.65">
      <c r="A39" s="20" t="s">
        <v>578</v>
      </c>
      <c r="B39" s="20" t="s">
        <v>579</v>
      </c>
      <c r="C39" s="20" t="s">
        <v>580</v>
      </c>
    </row>
    <row r="40" spans="1:3" hidden="1" x14ac:dyDescent="0.65">
      <c r="A40" s="20" t="s">
        <v>581</v>
      </c>
      <c r="B40" s="20" t="s">
        <v>582</v>
      </c>
      <c r="C40" s="20" t="s">
        <v>583</v>
      </c>
    </row>
    <row r="41" spans="1:3" hidden="1" x14ac:dyDescent="0.65">
      <c r="A41" s="20" t="s">
        <v>584</v>
      </c>
      <c r="B41" s="20" t="s">
        <v>585</v>
      </c>
      <c r="C41" s="20" t="s">
        <v>586</v>
      </c>
    </row>
    <row r="42" spans="1:3" hidden="1" x14ac:dyDescent="0.65">
      <c r="A42" s="20" t="s">
        <v>587</v>
      </c>
      <c r="B42" s="20" t="s">
        <v>588</v>
      </c>
      <c r="C42" s="20" t="s">
        <v>589</v>
      </c>
    </row>
    <row r="43" spans="1:3" hidden="1" x14ac:dyDescent="0.65">
      <c r="A43" s="20" t="s">
        <v>590</v>
      </c>
      <c r="B43" s="20" t="s">
        <v>591</v>
      </c>
      <c r="C43" s="20" t="s">
        <v>592</v>
      </c>
    </row>
    <row r="44" spans="1:3" hidden="1" x14ac:dyDescent="0.65">
      <c r="A44" s="20" t="s">
        <v>593</v>
      </c>
      <c r="B44" s="20" t="s">
        <v>594</v>
      </c>
      <c r="C44" s="20" t="s">
        <v>595</v>
      </c>
    </row>
    <row r="45" spans="1:3" hidden="1" x14ac:dyDescent="0.65">
      <c r="A45" s="20" t="s">
        <v>596</v>
      </c>
      <c r="B45" s="20" t="s">
        <v>597</v>
      </c>
      <c r="C45" s="20" t="s">
        <v>598</v>
      </c>
    </row>
    <row r="46" spans="1:3" hidden="1" x14ac:dyDescent="0.65">
      <c r="A46" s="20" t="s">
        <v>599</v>
      </c>
      <c r="B46" s="20" t="s">
        <v>600</v>
      </c>
      <c r="C46" s="20" t="s">
        <v>601</v>
      </c>
    </row>
    <row r="47" spans="1:3" hidden="1" x14ac:dyDescent="0.65">
      <c r="A47" s="20" t="s">
        <v>602</v>
      </c>
      <c r="B47" s="20" t="s">
        <v>603</v>
      </c>
      <c r="C47" s="20" t="s">
        <v>604</v>
      </c>
    </row>
    <row r="48" spans="1:3" hidden="1" x14ac:dyDescent="0.65">
      <c r="A48" s="20" t="s">
        <v>605</v>
      </c>
      <c r="B48" s="20" t="s">
        <v>606</v>
      </c>
      <c r="C48" s="20" t="s">
        <v>607</v>
      </c>
    </row>
    <row r="49" spans="1:3" hidden="1" x14ac:dyDescent="0.65">
      <c r="A49" s="20" t="s">
        <v>608</v>
      </c>
      <c r="B49" s="20" t="s">
        <v>609</v>
      </c>
      <c r="C49" s="20" t="s">
        <v>610</v>
      </c>
    </row>
    <row r="50" spans="1:3" hidden="1" x14ac:dyDescent="0.65">
      <c r="A50" s="20" t="s">
        <v>611</v>
      </c>
      <c r="B50" s="20" t="s">
        <v>612</v>
      </c>
      <c r="C50" s="20" t="s">
        <v>613</v>
      </c>
    </row>
    <row r="51" spans="1:3" hidden="1" x14ac:dyDescent="0.65">
      <c r="A51" s="20" t="s">
        <v>614</v>
      </c>
      <c r="B51" s="20" t="s">
        <v>615</v>
      </c>
      <c r="C51" s="20" t="s">
        <v>616</v>
      </c>
    </row>
    <row r="52" spans="1:3" hidden="1" x14ac:dyDescent="0.65">
      <c r="A52" s="20" t="s">
        <v>617</v>
      </c>
      <c r="B52" s="20" t="s">
        <v>618</v>
      </c>
      <c r="C52" s="20" t="s">
        <v>619</v>
      </c>
    </row>
    <row r="53" spans="1:3" hidden="1" x14ac:dyDescent="0.65">
      <c r="A53" s="20" t="s">
        <v>620</v>
      </c>
      <c r="B53" s="20" t="s">
        <v>621</v>
      </c>
      <c r="C53" s="20" t="s">
        <v>622</v>
      </c>
    </row>
    <row r="54" spans="1:3" hidden="1" x14ac:dyDescent="0.65">
      <c r="A54" s="20" t="s">
        <v>623</v>
      </c>
      <c r="B54" s="20" t="s">
        <v>624</v>
      </c>
      <c r="C54" s="20" t="s">
        <v>625</v>
      </c>
    </row>
    <row r="55" spans="1:3" hidden="1" x14ac:dyDescent="0.65">
      <c r="A55" s="20" t="s">
        <v>626</v>
      </c>
      <c r="B55" s="20" t="s">
        <v>627</v>
      </c>
      <c r="C55" s="20" t="s">
        <v>628</v>
      </c>
    </row>
    <row r="56" spans="1:3" hidden="1" x14ac:dyDescent="0.65">
      <c r="A56" s="20" t="s">
        <v>629</v>
      </c>
      <c r="B56" s="20" t="s">
        <v>630</v>
      </c>
      <c r="C56" s="20" t="s">
        <v>631</v>
      </c>
    </row>
    <row r="57" spans="1:3" hidden="1" x14ac:dyDescent="0.65">
      <c r="A57" s="20" t="s">
        <v>632</v>
      </c>
      <c r="B57" s="20" t="s">
        <v>633</v>
      </c>
      <c r="C57" s="20" t="s">
        <v>634</v>
      </c>
    </row>
    <row r="58" spans="1:3" hidden="1" x14ac:dyDescent="0.65">
      <c r="A58" s="20" t="s">
        <v>635</v>
      </c>
      <c r="B58" s="20" t="s">
        <v>636</v>
      </c>
      <c r="C58" s="20" t="s">
        <v>637</v>
      </c>
    </row>
    <row r="59" spans="1:3" hidden="1" x14ac:dyDescent="0.65">
      <c r="A59" s="20" t="s">
        <v>638</v>
      </c>
      <c r="B59" s="20" t="s">
        <v>639</v>
      </c>
      <c r="C59" s="20" t="s">
        <v>640</v>
      </c>
    </row>
    <row r="60" spans="1:3" hidden="1" x14ac:dyDescent="0.65">
      <c r="A60" s="20" t="s">
        <v>641</v>
      </c>
      <c r="B60" s="20" t="s">
        <v>642</v>
      </c>
      <c r="C60" s="20" t="s">
        <v>643</v>
      </c>
    </row>
    <row r="61" spans="1:3" hidden="1" x14ac:dyDescent="0.65">
      <c r="A61" s="20" t="s">
        <v>644</v>
      </c>
      <c r="B61" s="20" t="s">
        <v>645</v>
      </c>
      <c r="C61" s="20" t="s">
        <v>646</v>
      </c>
    </row>
    <row r="62" spans="1:3" hidden="1" x14ac:dyDescent="0.65">
      <c r="A62" s="20" t="s">
        <v>647</v>
      </c>
      <c r="B62" s="20" t="s">
        <v>648</v>
      </c>
      <c r="C62" s="20" t="s">
        <v>649</v>
      </c>
    </row>
    <row r="63" spans="1:3" hidden="1" x14ac:dyDescent="0.65">
      <c r="A63" s="20" t="s">
        <v>650</v>
      </c>
      <c r="B63" s="20" t="s">
        <v>651</v>
      </c>
      <c r="C63" s="20" t="s">
        <v>652</v>
      </c>
    </row>
    <row r="64" spans="1:3" hidden="1" x14ac:dyDescent="0.65">
      <c r="A64" s="20" t="s">
        <v>653</v>
      </c>
      <c r="B64" s="20" t="s">
        <v>654</v>
      </c>
      <c r="C64" s="20" t="s">
        <v>655</v>
      </c>
    </row>
    <row r="65" spans="1:3" hidden="1" x14ac:dyDescent="0.65">
      <c r="A65" s="20" t="s">
        <v>656</v>
      </c>
      <c r="B65" s="20" t="s">
        <v>657</v>
      </c>
      <c r="C65" s="20" t="s">
        <v>658</v>
      </c>
    </row>
    <row r="66" spans="1:3" hidden="1" x14ac:dyDescent="0.65">
      <c r="A66" s="20" t="s">
        <v>659</v>
      </c>
      <c r="B66" s="20" t="s">
        <v>660</v>
      </c>
      <c r="C66" s="20" t="s">
        <v>661</v>
      </c>
    </row>
    <row r="67" spans="1:3" hidden="1" x14ac:dyDescent="0.65">
      <c r="A67" s="20" t="s">
        <v>662</v>
      </c>
      <c r="B67" s="20" t="s">
        <v>663</v>
      </c>
      <c r="C67" s="20" t="s">
        <v>664</v>
      </c>
    </row>
    <row r="68" spans="1:3" hidden="1" x14ac:dyDescent="0.65">
      <c r="A68" s="20" t="s">
        <v>665</v>
      </c>
      <c r="B68" s="20" t="s">
        <v>666</v>
      </c>
      <c r="C68" s="20" t="s">
        <v>667</v>
      </c>
    </row>
    <row r="69" spans="1:3" hidden="1" x14ac:dyDescent="0.65">
      <c r="A69" s="20" t="s">
        <v>668</v>
      </c>
      <c r="B69" s="20" t="s">
        <v>669</v>
      </c>
      <c r="C69" s="20" t="s">
        <v>670</v>
      </c>
    </row>
    <row r="70" spans="1:3" hidden="1" x14ac:dyDescent="0.65">
      <c r="A70" s="20" t="s">
        <v>671</v>
      </c>
      <c r="B70" s="20" t="s">
        <v>672</v>
      </c>
      <c r="C70" s="20" t="s">
        <v>673</v>
      </c>
    </row>
    <row r="71" spans="1:3" hidden="1" x14ac:dyDescent="0.65">
      <c r="A71" s="20" t="s">
        <v>674</v>
      </c>
      <c r="B71" s="20" t="s">
        <v>675</v>
      </c>
      <c r="C71" s="20" t="s">
        <v>676</v>
      </c>
    </row>
    <row r="72" spans="1:3" hidden="1" x14ac:dyDescent="0.65">
      <c r="A72" s="20" t="s">
        <v>677</v>
      </c>
      <c r="B72" s="20" t="s">
        <v>678</v>
      </c>
      <c r="C72" s="20" t="s">
        <v>679</v>
      </c>
    </row>
    <row r="73" spans="1:3" hidden="1" x14ac:dyDescent="0.65">
      <c r="A73" s="20" t="s">
        <v>680</v>
      </c>
      <c r="B73" s="20" t="s">
        <v>681</v>
      </c>
      <c r="C73" s="20" t="s">
        <v>682</v>
      </c>
    </row>
    <row r="74" spans="1:3" hidden="1" x14ac:dyDescent="0.65">
      <c r="A74" s="20" t="s">
        <v>683</v>
      </c>
      <c r="B74" s="20" t="s">
        <v>684</v>
      </c>
      <c r="C74" s="20" t="s">
        <v>685</v>
      </c>
    </row>
    <row r="75" spans="1:3" hidden="1" x14ac:dyDescent="0.65">
      <c r="A75" s="20" t="s">
        <v>686</v>
      </c>
      <c r="B75" s="20" t="s">
        <v>687</v>
      </c>
      <c r="C75" s="20" t="s">
        <v>688</v>
      </c>
    </row>
    <row r="76" spans="1:3" hidden="1" x14ac:dyDescent="0.65">
      <c r="A76" s="20" t="s">
        <v>689</v>
      </c>
      <c r="B76" s="20" t="s">
        <v>690</v>
      </c>
      <c r="C76" s="20" t="s">
        <v>691</v>
      </c>
    </row>
    <row r="77" spans="1:3" hidden="1" x14ac:dyDescent="0.65">
      <c r="A77" s="20" t="s">
        <v>692</v>
      </c>
      <c r="B77" s="20" t="s">
        <v>693</v>
      </c>
      <c r="C77" s="20" t="s">
        <v>694</v>
      </c>
    </row>
    <row r="78" spans="1:3" hidden="1" x14ac:dyDescent="0.65">
      <c r="A78" s="20" t="s">
        <v>695</v>
      </c>
      <c r="B78" s="20" t="s">
        <v>696</v>
      </c>
      <c r="C78" s="20" t="s">
        <v>697</v>
      </c>
    </row>
    <row r="79" spans="1:3" hidden="1" x14ac:dyDescent="0.65">
      <c r="A79" s="20" t="s">
        <v>698</v>
      </c>
      <c r="B79" s="20" t="s">
        <v>699</v>
      </c>
      <c r="C79" s="20" t="s">
        <v>700</v>
      </c>
    </row>
    <row r="80" spans="1:3" hidden="1" x14ac:dyDescent="0.65">
      <c r="A80" s="20" t="s">
        <v>701</v>
      </c>
      <c r="B80" s="20" t="s">
        <v>702</v>
      </c>
      <c r="C80" s="20" t="s">
        <v>703</v>
      </c>
    </row>
    <row r="81" spans="1:3" hidden="1" x14ac:dyDescent="0.65">
      <c r="A81" s="20" t="s">
        <v>704</v>
      </c>
      <c r="B81" s="20" t="s">
        <v>705</v>
      </c>
      <c r="C81" s="20" t="s">
        <v>706</v>
      </c>
    </row>
    <row r="82" spans="1:3" hidden="1" x14ac:dyDescent="0.65">
      <c r="A82" s="20" t="s">
        <v>707</v>
      </c>
      <c r="B82" s="20" t="s">
        <v>708</v>
      </c>
      <c r="C82" s="20" t="s">
        <v>709</v>
      </c>
    </row>
    <row r="83" spans="1:3" hidden="1" x14ac:dyDescent="0.65">
      <c r="A83" s="20" t="s">
        <v>710</v>
      </c>
      <c r="B83" s="20" t="s">
        <v>711</v>
      </c>
      <c r="C83" s="20" t="s">
        <v>712</v>
      </c>
    </row>
    <row r="84" spans="1:3" hidden="1" x14ac:dyDescent="0.65">
      <c r="A84" s="20" t="s">
        <v>713</v>
      </c>
      <c r="B84" s="20" t="s">
        <v>714</v>
      </c>
      <c r="C84" s="20" t="s">
        <v>715</v>
      </c>
    </row>
    <row r="85" spans="1:3" hidden="1" x14ac:dyDescent="0.65">
      <c r="A85" s="20" t="s">
        <v>716</v>
      </c>
      <c r="B85" s="20" t="s">
        <v>717</v>
      </c>
      <c r="C85" s="20" t="s">
        <v>718</v>
      </c>
    </row>
    <row r="86" spans="1:3" hidden="1" x14ac:dyDescent="0.65">
      <c r="A86" s="20" t="s">
        <v>719</v>
      </c>
      <c r="B86" s="20" t="s">
        <v>720</v>
      </c>
      <c r="C86" s="20" t="s">
        <v>721</v>
      </c>
    </row>
    <row r="87" spans="1:3" hidden="1" x14ac:dyDescent="0.65">
      <c r="A87" s="20" t="s">
        <v>722</v>
      </c>
      <c r="B87" s="20" t="s">
        <v>723</v>
      </c>
      <c r="C87" s="20" t="s">
        <v>724</v>
      </c>
    </row>
    <row r="88" spans="1:3" hidden="1" x14ac:dyDescent="0.65">
      <c r="A88" s="20" t="s">
        <v>725</v>
      </c>
      <c r="B88" s="20" t="s">
        <v>726</v>
      </c>
      <c r="C88" s="20" t="s">
        <v>727</v>
      </c>
    </row>
    <row r="89" spans="1:3" hidden="1" x14ac:dyDescent="0.65">
      <c r="A89" s="20" t="s">
        <v>728</v>
      </c>
      <c r="B89" s="20" t="s">
        <v>729</v>
      </c>
      <c r="C89" s="20" t="s">
        <v>730</v>
      </c>
    </row>
    <row r="90" spans="1:3" hidden="1" x14ac:dyDescent="0.65">
      <c r="A90" s="20" t="s">
        <v>731</v>
      </c>
      <c r="B90" s="20" t="s">
        <v>732</v>
      </c>
      <c r="C90" s="20" t="s">
        <v>733</v>
      </c>
    </row>
    <row r="91" spans="1:3" hidden="1" x14ac:dyDescent="0.65">
      <c r="A91" s="20" t="s">
        <v>734</v>
      </c>
      <c r="B91" s="20" t="s">
        <v>735</v>
      </c>
      <c r="C91" s="20" t="s">
        <v>736</v>
      </c>
    </row>
    <row r="92" spans="1:3" hidden="1" x14ac:dyDescent="0.65">
      <c r="A92" s="20" t="s">
        <v>737</v>
      </c>
      <c r="B92" s="20" t="s">
        <v>738</v>
      </c>
      <c r="C92" s="20" t="s">
        <v>739</v>
      </c>
    </row>
    <row r="93" spans="1:3" hidden="1" x14ac:dyDescent="0.65">
      <c r="A93" s="20" t="s">
        <v>740</v>
      </c>
      <c r="B93" s="20" t="s">
        <v>741</v>
      </c>
      <c r="C93" s="20" t="s">
        <v>742</v>
      </c>
    </row>
    <row r="94" spans="1:3" hidden="1" x14ac:dyDescent="0.65">
      <c r="A94" s="20" t="s">
        <v>743</v>
      </c>
      <c r="B94" s="20" t="s">
        <v>744</v>
      </c>
      <c r="C94" s="20" t="s">
        <v>745</v>
      </c>
    </row>
    <row r="95" spans="1:3" hidden="1" x14ac:dyDescent="0.65">
      <c r="A95" s="20" t="s">
        <v>746</v>
      </c>
      <c r="B95" s="20" t="s">
        <v>747</v>
      </c>
      <c r="C95" s="20" t="s">
        <v>748</v>
      </c>
    </row>
    <row r="96" spans="1:3" hidden="1" x14ac:dyDescent="0.65">
      <c r="A96" s="20" t="s">
        <v>749</v>
      </c>
      <c r="B96" s="20" t="s">
        <v>750</v>
      </c>
      <c r="C96" s="20" t="s">
        <v>751</v>
      </c>
    </row>
    <row r="97" spans="1:3" hidden="1" x14ac:dyDescent="0.65">
      <c r="A97" s="20" t="s">
        <v>752</v>
      </c>
      <c r="B97" s="20" t="s">
        <v>753</v>
      </c>
      <c r="C97" s="20" t="s">
        <v>754</v>
      </c>
    </row>
    <row r="98" spans="1:3" hidden="1" x14ac:dyDescent="0.65">
      <c r="A98" s="20" t="s">
        <v>755</v>
      </c>
      <c r="B98" s="20" t="s">
        <v>756</v>
      </c>
      <c r="C98" s="20" t="s">
        <v>757</v>
      </c>
    </row>
    <row r="99" spans="1:3" hidden="1" x14ac:dyDescent="0.65">
      <c r="A99" s="20" t="s">
        <v>758</v>
      </c>
      <c r="B99" s="20" t="s">
        <v>759</v>
      </c>
      <c r="C99" s="20" t="s">
        <v>760</v>
      </c>
    </row>
    <row r="100" spans="1:3" hidden="1" x14ac:dyDescent="0.65">
      <c r="A100" s="20" t="s">
        <v>761</v>
      </c>
      <c r="B100" s="20" t="s">
        <v>762</v>
      </c>
      <c r="C100" s="20" t="s">
        <v>763</v>
      </c>
    </row>
    <row r="101" spans="1:3" hidden="1" x14ac:dyDescent="0.65">
      <c r="A101" s="20" t="s">
        <v>764</v>
      </c>
      <c r="B101" s="20" t="s">
        <v>765</v>
      </c>
      <c r="C101" s="20" t="s">
        <v>766</v>
      </c>
    </row>
    <row r="102" spans="1:3" hidden="1" x14ac:dyDescent="0.65">
      <c r="A102" s="20" t="s">
        <v>767</v>
      </c>
      <c r="B102" s="20" t="s">
        <v>768</v>
      </c>
      <c r="C102" s="20" t="s">
        <v>769</v>
      </c>
    </row>
    <row r="103" spans="1:3" hidden="1" x14ac:dyDescent="0.65">
      <c r="A103" s="20" t="s">
        <v>770</v>
      </c>
      <c r="B103" s="20" t="s">
        <v>771</v>
      </c>
      <c r="C103" s="20" t="s">
        <v>772</v>
      </c>
    </row>
    <row r="104" spans="1:3" hidden="1" x14ac:dyDescent="0.65">
      <c r="A104" s="20" t="s">
        <v>773</v>
      </c>
      <c r="B104" s="20" t="s">
        <v>774</v>
      </c>
      <c r="C104" s="20" t="s">
        <v>775</v>
      </c>
    </row>
    <row r="105" spans="1:3" hidden="1" x14ac:dyDescent="0.65">
      <c r="A105" s="20" t="s">
        <v>776</v>
      </c>
      <c r="B105" s="20" t="s">
        <v>777</v>
      </c>
      <c r="C105" s="20" t="s">
        <v>778</v>
      </c>
    </row>
    <row r="106" spans="1:3" hidden="1" x14ac:dyDescent="0.65">
      <c r="A106" s="20" t="s">
        <v>779</v>
      </c>
      <c r="B106" s="20" t="s">
        <v>780</v>
      </c>
      <c r="C106" s="20" t="s">
        <v>781</v>
      </c>
    </row>
    <row r="107" spans="1:3" hidden="1" x14ac:dyDescent="0.65">
      <c r="A107" s="20" t="s">
        <v>782</v>
      </c>
      <c r="B107" s="20" t="s">
        <v>783</v>
      </c>
      <c r="C107" s="20" t="s">
        <v>784</v>
      </c>
    </row>
    <row r="108" spans="1:3" hidden="1" x14ac:dyDescent="0.65">
      <c r="A108" s="20" t="s">
        <v>785</v>
      </c>
      <c r="B108" s="20" t="s">
        <v>786</v>
      </c>
      <c r="C108" s="20" t="s">
        <v>787</v>
      </c>
    </row>
    <row r="109" spans="1:3" hidden="1" x14ac:dyDescent="0.65">
      <c r="A109" s="20" t="s">
        <v>788</v>
      </c>
      <c r="B109" s="20" t="s">
        <v>789</v>
      </c>
      <c r="C109" s="20" t="s">
        <v>790</v>
      </c>
    </row>
    <row r="110" spans="1:3" hidden="1" x14ac:dyDescent="0.65">
      <c r="A110" s="20" t="s">
        <v>791</v>
      </c>
      <c r="B110" s="20" t="s">
        <v>792</v>
      </c>
      <c r="C110" s="20" t="s">
        <v>793</v>
      </c>
    </row>
    <row r="111" spans="1:3" hidden="1" x14ac:dyDescent="0.65">
      <c r="A111" s="20" t="s">
        <v>794</v>
      </c>
      <c r="B111" s="20" t="s">
        <v>795</v>
      </c>
      <c r="C111" s="20" t="s">
        <v>796</v>
      </c>
    </row>
    <row r="112" spans="1:3" hidden="1" x14ac:dyDescent="0.65">
      <c r="A112" s="20" t="s">
        <v>797</v>
      </c>
      <c r="B112" s="20" t="s">
        <v>798</v>
      </c>
      <c r="C112" s="20" t="s">
        <v>799</v>
      </c>
    </row>
    <row r="113" spans="1:3" hidden="1" x14ac:dyDescent="0.65">
      <c r="A113" s="20" t="s">
        <v>800</v>
      </c>
      <c r="B113" s="20" t="s">
        <v>801</v>
      </c>
      <c r="C113" s="20" t="s">
        <v>802</v>
      </c>
    </row>
    <row r="114" spans="1:3" hidden="1" x14ac:dyDescent="0.65">
      <c r="A114" s="20" t="s">
        <v>803</v>
      </c>
      <c r="B114" s="20" t="s">
        <v>804</v>
      </c>
      <c r="C114" s="20" t="s">
        <v>805</v>
      </c>
    </row>
    <row r="115" spans="1:3" hidden="1" x14ac:dyDescent="0.65">
      <c r="A115" s="20" t="s">
        <v>806</v>
      </c>
      <c r="B115" s="20" t="s">
        <v>807</v>
      </c>
      <c r="C115" s="20" t="s">
        <v>808</v>
      </c>
    </row>
    <row r="116" spans="1:3" hidden="1" x14ac:dyDescent="0.65">
      <c r="A116" s="20" t="s">
        <v>809</v>
      </c>
      <c r="B116" s="20" t="s">
        <v>810</v>
      </c>
      <c r="C116" s="20" t="s">
        <v>811</v>
      </c>
    </row>
    <row r="117" spans="1:3" hidden="1" x14ac:dyDescent="0.65">
      <c r="A117" s="20" t="s">
        <v>812</v>
      </c>
      <c r="B117" s="20" t="s">
        <v>813</v>
      </c>
      <c r="C117" s="20" t="s">
        <v>814</v>
      </c>
    </row>
    <row r="118" spans="1:3" hidden="1" x14ac:dyDescent="0.65">
      <c r="A118" s="20" t="s">
        <v>815</v>
      </c>
      <c r="B118" s="20" t="s">
        <v>816</v>
      </c>
      <c r="C118" s="20" t="s">
        <v>817</v>
      </c>
    </row>
    <row r="119" spans="1:3" hidden="1" x14ac:dyDescent="0.65">
      <c r="A119" s="20" t="s">
        <v>818</v>
      </c>
      <c r="B119" s="20" t="s">
        <v>819</v>
      </c>
      <c r="C119" s="20" t="s">
        <v>820</v>
      </c>
    </row>
    <row r="120" spans="1:3" hidden="1" x14ac:dyDescent="0.65">
      <c r="A120" s="20" t="s">
        <v>821</v>
      </c>
      <c r="B120" s="20" t="s">
        <v>822</v>
      </c>
      <c r="C120" s="20" t="s">
        <v>823</v>
      </c>
    </row>
    <row r="121" spans="1:3" hidden="1" x14ac:dyDescent="0.65">
      <c r="A121" s="20" t="s">
        <v>824</v>
      </c>
      <c r="B121" s="20" t="s">
        <v>825</v>
      </c>
      <c r="C121" s="20" t="s">
        <v>826</v>
      </c>
    </row>
    <row r="122" spans="1:3" hidden="1" x14ac:dyDescent="0.65">
      <c r="A122" s="20" t="s">
        <v>827</v>
      </c>
      <c r="B122" s="20" t="s">
        <v>828</v>
      </c>
      <c r="C122" s="20" t="s">
        <v>829</v>
      </c>
    </row>
    <row r="123" spans="1:3" hidden="1" x14ac:dyDescent="0.65">
      <c r="A123" s="20" t="s">
        <v>830</v>
      </c>
      <c r="B123" s="20" t="s">
        <v>831</v>
      </c>
      <c r="C123" s="20" t="s">
        <v>832</v>
      </c>
    </row>
    <row r="124" spans="1:3" hidden="1" x14ac:dyDescent="0.65">
      <c r="A124" s="20" t="s">
        <v>833</v>
      </c>
      <c r="B124" s="20" t="s">
        <v>834</v>
      </c>
      <c r="C124" s="20" t="s">
        <v>835</v>
      </c>
    </row>
    <row r="125" spans="1:3" hidden="1" x14ac:dyDescent="0.65">
      <c r="A125" s="20" t="s">
        <v>836</v>
      </c>
      <c r="B125" s="20" t="s">
        <v>837</v>
      </c>
      <c r="C125" s="20" t="s">
        <v>838</v>
      </c>
    </row>
    <row r="126" spans="1:3" hidden="1" x14ac:dyDescent="0.65">
      <c r="A126" s="20" t="s">
        <v>839</v>
      </c>
      <c r="B126" s="20" t="s">
        <v>840</v>
      </c>
      <c r="C126" s="20" t="s">
        <v>841</v>
      </c>
    </row>
    <row r="127" spans="1:3" hidden="1" x14ac:dyDescent="0.65">
      <c r="A127" s="20" t="s">
        <v>842</v>
      </c>
      <c r="B127" s="20" t="s">
        <v>843</v>
      </c>
      <c r="C127" s="20" t="s">
        <v>844</v>
      </c>
    </row>
    <row r="128" spans="1:3" hidden="1" x14ac:dyDescent="0.65">
      <c r="A128" s="20" t="s">
        <v>845</v>
      </c>
      <c r="B128" s="20" t="s">
        <v>846</v>
      </c>
      <c r="C128" s="20" t="s">
        <v>847</v>
      </c>
    </row>
    <row r="129" spans="1:3" hidden="1" x14ac:dyDescent="0.65">
      <c r="A129" s="20" t="s">
        <v>848</v>
      </c>
      <c r="B129" s="20" t="s">
        <v>849</v>
      </c>
      <c r="C129" s="20" t="s">
        <v>850</v>
      </c>
    </row>
    <row r="130" spans="1:3" hidden="1" x14ac:dyDescent="0.65">
      <c r="A130" s="20" t="s">
        <v>713</v>
      </c>
      <c r="B130" s="20" t="s">
        <v>714</v>
      </c>
      <c r="C130" s="20" t="s">
        <v>715</v>
      </c>
    </row>
    <row r="131" spans="1:3" hidden="1" x14ac:dyDescent="0.65">
      <c r="A131" s="20" t="s">
        <v>716</v>
      </c>
      <c r="B131" s="20" t="s">
        <v>717</v>
      </c>
      <c r="C131" s="20" t="s">
        <v>718</v>
      </c>
    </row>
    <row r="132" spans="1:3" hidden="1" x14ac:dyDescent="0.65">
      <c r="A132" s="20" t="s">
        <v>719</v>
      </c>
      <c r="B132" s="20" t="s">
        <v>720</v>
      </c>
      <c r="C132" s="20" t="s">
        <v>721</v>
      </c>
    </row>
    <row r="133" spans="1:3" hidden="1" x14ac:dyDescent="0.65">
      <c r="A133" s="20" t="s">
        <v>722</v>
      </c>
      <c r="B133" s="20" t="s">
        <v>723</v>
      </c>
      <c r="C133" s="20" t="s">
        <v>724</v>
      </c>
    </row>
    <row r="134" spans="1:3" hidden="1" x14ac:dyDescent="0.65">
      <c r="A134" s="20" t="s">
        <v>725</v>
      </c>
      <c r="B134" s="20" t="s">
        <v>726</v>
      </c>
      <c r="C134" s="20" t="s">
        <v>727</v>
      </c>
    </row>
    <row r="135" spans="1:3" hidden="1" x14ac:dyDescent="0.65">
      <c r="A135" s="20" t="s">
        <v>728</v>
      </c>
      <c r="B135" s="20" t="s">
        <v>729</v>
      </c>
      <c r="C135" s="20" t="s">
        <v>730</v>
      </c>
    </row>
    <row r="136" spans="1:3" hidden="1" x14ac:dyDescent="0.65">
      <c r="A136" s="20" t="s">
        <v>731</v>
      </c>
      <c r="B136" s="20" t="s">
        <v>732</v>
      </c>
      <c r="C136" s="20" t="s">
        <v>733</v>
      </c>
    </row>
    <row r="137" spans="1:3" hidden="1" x14ac:dyDescent="0.65">
      <c r="A137" s="20" t="s">
        <v>734</v>
      </c>
      <c r="B137" s="20" t="s">
        <v>735</v>
      </c>
      <c r="C137" s="20" t="s">
        <v>736</v>
      </c>
    </row>
    <row r="138" spans="1:3" hidden="1" x14ac:dyDescent="0.65">
      <c r="A138" s="20" t="s">
        <v>737</v>
      </c>
      <c r="B138" s="20" t="s">
        <v>738</v>
      </c>
      <c r="C138" s="20" t="s">
        <v>739</v>
      </c>
    </row>
    <row r="139" spans="1:3" hidden="1" x14ac:dyDescent="0.65">
      <c r="A139" s="20" t="s">
        <v>740</v>
      </c>
      <c r="B139" s="20" t="s">
        <v>741</v>
      </c>
      <c r="C139" s="20" t="s">
        <v>742</v>
      </c>
    </row>
    <row r="140" spans="1:3" hidden="1" x14ac:dyDescent="0.65">
      <c r="A140" s="20" t="s">
        <v>743</v>
      </c>
      <c r="B140" s="20" t="s">
        <v>744</v>
      </c>
      <c r="C140" s="20" t="s">
        <v>745</v>
      </c>
    </row>
    <row r="141" spans="1:3" hidden="1" x14ac:dyDescent="0.65">
      <c r="A141" s="20" t="s">
        <v>746</v>
      </c>
      <c r="B141" s="20" t="s">
        <v>747</v>
      </c>
      <c r="C141" s="20" t="s">
        <v>748</v>
      </c>
    </row>
    <row r="142" spans="1:3" hidden="1" x14ac:dyDescent="0.65">
      <c r="A142" s="20" t="s">
        <v>749</v>
      </c>
      <c r="B142" s="20" t="s">
        <v>750</v>
      </c>
      <c r="C142" s="20" t="s">
        <v>751</v>
      </c>
    </row>
    <row r="143" spans="1:3" hidden="1" x14ac:dyDescent="0.65">
      <c r="A143" s="20" t="s">
        <v>752</v>
      </c>
      <c r="B143" s="20" t="s">
        <v>753</v>
      </c>
      <c r="C143" s="20" t="s">
        <v>754</v>
      </c>
    </row>
    <row r="144" spans="1:3" hidden="1" x14ac:dyDescent="0.65">
      <c r="A144" s="20" t="s">
        <v>755</v>
      </c>
      <c r="B144" s="20" t="s">
        <v>756</v>
      </c>
      <c r="C144" s="20" t="s">
        <v>757</v>
      </c>
    </row>
    <row r="145" spans="1:3" hidden="1" x14ac:dyDescent="0.65">
      <c r="A145" s="20" t="s">
        <v>758</v>
      </c>
      <c r="B145" s="20" t="s">
        <v>759</v>
      </c>
      <c r="C145" s="20" t="s">
        <v>760</v>
      </c>
    </row>
    <row r="146" spans="1:3" hidden="1" x14ac:dyDescent="0.65">
      <c r="A146" s="20" t="s">
        <v>761</v>
      </c>
      <c r="B146" s="20" t="s">
        <v>762</v>
      </c>
      <c r="C146" s="20" t="s">
        <v>763</v>
      </c>
    </row>
    <row r="147" spans="1:3" hidden="1" x14ac:dyDescent="0.65">
      <c r="A147" s="20" t="s">
        <v>764</v>
      </c>
      <c r="B147" s="20" t="s">
        <v>765</v>
      </c>
      <c r="C147" s="20" t="s">
        <v>766</v>
      </c>
    </row>
    <row r="148" spans="1:3" hidden="1" x14ac:dyDescent="0.65">
      <c r="A148" s="20" t="s">
        <v>767</v>
      </c>
      <c r="B148" s="20" t="s">
        <v>768</v>
      </c>
      <c r="C148" s="20" t="s">
        <v>769</v>
      </c>
    </row>
    <row r="149" spans="1:3" hidden="1" x14ac:dyDescent="0.65">
      <c r="A149" s="20" t="s">
        <v>770</v>
      </c>
      <c r="B149" s="20" t="s">
        <v>771</v>
      </c>
      <c r="C149" s="20" t="s">
        <v>772</v>
      </c>
    </row>
    <row r="150" spans="1:3" hidden="1" x14ac:dyDescent="0.65">
      <c r="A150" s="20" t="s">
        <v>773</v>
      </c>
      <c r="B150" s="20" t="s">
        <v>774</v>
      </c>
      <c r="C150" s="20" t="s">
        <v>775</v>
      </c>
    </row>
    <row r="151" spans="1:3" hidden="1" x14ac:dyDescent="0.65">
      <c r="A151" s="20" t="s">
        <v>776</v>
      </c>
      <c r="B151" s="20" t="s">
        <v>777</v>
      </c>
      <c r="C151" s="20" t="s">
        <v>778</v>
      </c>
    </row>
    <row r="152" spans="1:3" hidden="1" x14ac:dyDescent="0.65">
      <c r="A152" s="20" t="s">
        <v>779</v>
      </c>
      <c r="B152" s="20" t="s">
        <v>780</v>
      </c>
      <c r="C152" s="20" t="s">
        <v>781</v>
      </c>
    </row>
    <row r="153" spans="1:3" hidden="1" x14ac:dyDescent="0.65">
      <c r="A153" s="20" t="s">
        <v>782</v>
      </c>
      <c r="B153" s="20" t="s">
        <v>783</v>
      </c>
      <c r="C153" s="20" t="s">
        <v>784</v>
      </c>
    </row>
    <row r="154" spans="1:3" hidden="1" x14ac:dyDescent="0.65">
      <c r="A154" s="20" t="s">
        <v>785</v>
      </c>
      <c r="B154" s="20" t="s">
        <v>786</v>
      </c>
      <c r="C154" s="20" t="s">
        <v>787</v>
      </c>
    </row>
    <row r="155" spans="1:3" hidden="1" x14ac:dyDescent="0.65">
      <c r="A155" s="20" t="s">
        <v>788</v>
      </c>
      <c r="B155" s="20" t="s">
        <v>789</v>
      </c>
      <c r="C155" s="20" t="s">
        <v>790</v>
      </c>
    </row>
    <row r="156" spans="1:3" hidden="1" x14ac:dyDescent="0.65">
      <c r="A156" s="20" t="s">
        <v>791</v>
      </c>
      <c r="B156" s="20" t="s">
        <v>792</v>
      </c>
      <c r="C156" s="20" t="s">
        <v>793</v>
      </c>
    </row>
    <row r="157" spans="1:3" hidden="1" x14ac:dyDescent="0.65">
      <c r="A157" s="20" t="s">
        <v>794</v>
      </c>
      <c r="B157" s="20" t="s">
        <v>795</v>
      </c>
      <c r="C157" s="20" t="s">
        <v>796</v>
      </c>
    </row>
    <row r="158" spans="1:3" hidden="1" x14ac:dyDescent="0.65">
      <c r="A158" s="20" t="s">
        <v>797</v>
      </c>
      <c r="B158" s="20" t="s">
        <v>798</v>
      </c>
      <c r="C158" s="20" t="s">
        <v>799</v>
      </c>
    </row>
    <row r="159" spans="1:3" hidden="1" x14ac:dyDescent="0.65">
      <c r="A159" s="20" t="s">
        <v>800</v>
      </c>
      <c r="B159" s="20" t="s">
        <v>801</v>
      </c>
      <c r="C159" s="20" t="s">
        <v>802</v>
      </c>
    </row>
    <row r="160" spans="1:3" hidden="1" x14ac:dyDescent="0.65">
      <c r="A160" s="20" t="s">
        <v>803</v>
      </c>
      <c r="B160" s="20" t="s">
        <v>804</v>
      </c>
      <c r="C160" s="20" t="s">
        <v>805</v>
      </c>
    </row>
    <row r="161" spans="1:3" hidden="1" x14ac:dyDescent="0.65">
      <c r="A161" s="20" t="s">
        <v>806</v>
      </c>
      <c r="B161" s="20" t="s">
        <v>807</v>
      </c>
      <c r="C161" s="20" t="s">
        <v>808</v>
      </c>
    </row>
    <row r="162" spans="1:3" hidden="1" x14ac:dyDescent="0.65">
      <c r="A162" s="20" t="s">
        <v>809</v>
      </c>
      <c r="B162" s="20" t="s">
        <v>810</v>
      </c>
      <c r="C162" s="20" t="s">
        <v>811</v>
      </c>
    </row>
    <row r="163" spans="1:3" hidden="1" x14ac:dyDescent="0.65">
      <c r="A163" s="20" t="s">
        <v>812</v>
      </c>
      <c r="B163" s="20" t="s">
        <v>813</v>
      </c>
      <c r="C163" s="20" t="s">
        <v>814</v>
      </c>
    </row>
    <row r="164" spans="1:3" hidden="1" x14ac:dyDescent="0.65">
      <c r="A164" s="20" t="s">
        <v>815</v>
      </c>
      <c r="B164" s="20" t="s">
        <v>816</v>
      </c>
      <c r="C164" s="20" t="s">
        <v>817</v>
      </c>
    </row>
    <row r="165" spans="1:3" hidden="1" x14ac:dyDescent="0.65">
      <c r="A165" s="20" t="s">
        <v>818</v>
      </c>
      <c r="B165" s="20" t="s">
        <v>819</v>
      </c>
      <c r="C165" s="20" t="s">
        <v>820</v>
      </c>
    </row>
    <row r="166" spans="1:3" hidden="1" x14ac:dyDescent="0.65">
      <c r="A166" s="20" t="s">
        <v>821</v>
      </c>
      <c r="B166" s="20" t="s">
        <v>822</v>
      </c>
      <c r="C166" s="20" t="s">
        <v>823</v>
      </c>
    </row>
    <row r="167" spans="1:3" hidden="1" x14ac:dyDescent="0.65">
      <c r="A167" s="20" t="s">
        <v>824</v>
      </c>
      <c r="B167" s="20" t="s">
        <v>825</v>
      </c>
      <c r="C167" s="20" t="s">
        <v>826</v>
      </c>
    </row>
    <row r="168" spans="1:3" hidden="1" x14ac:dyDescent="0.65">
      <c r="A168" s="20" t="s">
        <v>827</v>
      </c>
      <c r="B168" s="20" t="s">
        <v>828</v>
      </c>
      <c r="C168" s="20" t="s">
        <v>829</v>
      </c>
    </row>
    <row r="169" spans="1:3" hidden="1" x14ac:dyDescent="0.65">
      <c r="A169" s="20" t="s">
        <v>830</v>
      </c>
      <c r="B169" s="20" t="s">
        <v>831</v>
      </c>
      <c r="C169" s="20" t="s">
        <v>832</v>
      </c>
    </row>
    <row r="170" spans="1:3" hidden="1" x14ac:dyDescent="0.65">
      <c r="A170" s="20" t="s">
        <v>833</v>
      </c>
      <c r="B170" s="20" t="s">
        <v>834</v>
      </c>
      <c r="C170" s="20" t="s">
        <v>835</v>
      </c>
    </row>
    <row r="171" spans="1:3" hidden="1" x14ac:dyDescent="0.65">
      <c r="A171" s="20" t="s">
        <v>836</v>
      </c>
      <c r="B171" s="20" t="s">
        <v>837</v>
      </c>
      <c r="C171" s="20" t="s">
        <v>838</v>
      </c>
    </row>
    <row r="172" spans="1:3" hidden="1" x14ac:dyDescent="0.65">
      <c r="A172" s="20" t="s">
        <v>839</v>
      </c>
      <c r="B172" s="20" t="s">
        <v>840</v>
      </c>
      <c r="C172" s="20" t="s">
        <v>841</v>
      </c>
    </row>
    <row r="173" spans="1:3" hidden="1" x14ac:dyDescent="0.65">
      <c r="A173" s="20" t="s">
        <v>842</v>
      </c>
      <c r="B173" s="20" t="s">
        <v>843</v>
      </c>
      <c r="C173" s="20" t="s">
        <v>844</v>
      </c>
    </row>
    <row r="174" spans="1:3" hidden="1" x14ac:dyDescent="0.65">
      <c r="A174" s="20" t="s">
        <v>845</v>
      </c>
      <c r="B174" s="20" t="s">
        <v>846</v>
      </c>
      <c r="C174" s="20" t="s">
        <v>847</v>
      </c>
    </row>
    <row r="175" spans="1:3" hidden="1" x14ac:dyDescent="0.65">
      <c r="A175" s="20" t="s">
        <v>848</v>
      </c>
      <c r="B175" s="20" t="s">
        <v>849</v>
      </c>
      <c r="C175" s="20" t="s">
        <v>850</v>
      </c>
    </row>
    <row r="176" spans="1:3" hidden="1" x14ac:dyDescent="0.65">
      <c r="A176" s="20" t="s">
        <v>863</v>
      </c>
      <c r="B176" s="20" t="s">
        <v>852</v>
      </c>
      <c r="C176" s="20" t="s">
        <v>853</v>
      </c>
    </row>
    <row r="177" spans="1:4" hidden="1" x14ac:dyDescent="0.65">
      <c r="A177" s="20" t="s">
        <v>854</v>
      </c>
      <c r="B177" s="20" t="s">
        <v>855</v>
      </c>
      <c r="C177" s="20" t="s">
        <v>856</v>
      </c>
      <c r="D177" s="20"/>
    </row>
    <row r="178" spans="1:4" hidden="1" x14ac:dyDescent="0.65">
      <c r="A178" s="20" t="s">
        <v>857</v>
      </c>
      <c r="B178" s="20" t="s">
        <v>858</v>
      </c>
      <c r="C178" s="20" t="s">
        <v>859</v>
      </c>
    </row>
    <row r="179" spans="1:4" hidden="1" x14ac:dyDescent="0.65">
      <c r="A179" s="20" t="s">
        <v>860</v>
      </c>
      <c r="B179" s="20" t="s">
        <v>861</v>
      </c>
      <c r="C179" s="20" t="s">
        <v>862</v>
      </c>
    </row>
    <row r="180" spans="1:4" hidden="1" x14ac:dyDescent="0.65">
      <c r="A180" s="20" t="s">
        <v>864</v>
      </c>
      <c r="B180" s="20" t="s">
        <v>865</v>
      </c>
      <c r="C180" s="20" t="s">
        <v>866</v>
      </c>
    </row>
    <row r="181" spans="1:4" hidden="1" x14ac:dyDescent="0.65">
      <c r="A181" s="20" t="s">
        <v>867</v>
      </c>
      <c r="B181" s="20" t="s">
        <v>868</v>
      </c>
      <c r="C181" s="20" t="s">
        <v>869</v>
      </c>
    </row>
    <row r="182" spans="1:4" hidden="1" x14ac:dyDescent="0.65">
      <c r="A182" s="20" t="s">
        <v>870</v>
      </c>
      <c r="B182" s="20" t="s">
        <v>871</v>
      </c>
      <c r="C182" s="20" t="s">
        <v>872</v>
      </c>
    </row>
    <row r="183" spans="1:4" hidden="1" x14ac:dyDescent="0.65">
      <c r="A183" s="20" t="s">
        <v>873</v>
      </c>
      <c r="B183" s="20" t="s">
        <v>874</v>
      </c>
      <c r="C183" s="20" t="s">
        <v>875</v>
      </c>
    </row>
    <row r="184" spans="1:4" hidden="1" x14ac:dyDescent="0.65">
      <c r="A184" s="20" t="s">
        <v>876</v>
      </c>
      <c r="B184" s="20" t="s">
        <v>877</v>
      </c>
      <c r="C184" s="20" t="s">
        <v>878</v>
      </c>
    </row>
    <row r="185" spans="1:4" hidden="1" x14ac:dyDescent="0.65">
      <c r="A185" s="20" t="s">
        <v>879</v>
      </c>
      <c r="B185" s="20" t="s">
        <v>880</v>
      </c>
      <c r="C185" s="20" t="s">
        <v>881</v>
      </c>
    </row>
    <row r="186" spans="1:4" hidden="1" x14ac:dyDescent="0.65">
      <c r="A186" s="20" t="s">
        <v>882</v>
      </c>
      <c r="B186" s="20" t="s">
        <v>883</v>
      </c>
      <c r="C186" s="20" t="s">
        <v>718</v>
      </c>
    </row>
    <row r="187" spans="1:4" hidden="1" x14ac:dyDescent="0.65">
      <c r="A187" s="20" t="s">
        <v>884</v>
      </c>
      <c r="B187" s="20" t="s">
        <v>885</v>
      </c>
      <c r="C187" s="20" t="s">
        <v>886</v>
      </c>
    </row>
    <row r="188" spans="1:4" hidden="1" x14ac:dyDescent="0.65">
      <c r="A188" s="20" t="s">
        <v>887</v>
      </c>
      <c r="B188" s="20" t="s">
        <v>888</v>
      </c>
      <c r="C188" s="20" t="s">
        <v>889</v>
      </c>
    </row>
    <row r="189" spans="1:4" x14ac:dyDescent="0.65">
      <c r="A189" s="20" t="s">
        <v>890</v>
      </c>
      <c r="B189" s="20" t="s">
        <v>891</v>
      </c>
      <c r="C189" s="20" t="s">
        <v>892</v>
      </c>
      <c r="D189" s="20" t="s">
        <v>352</v>
      </c>
    </row>
    <row r="190" spans="1:4" x14ac:dyDescent="0.65">
      <c r="A190" s="20" t="s">
        <v>893</v>
      </c>
      <c r="B190" s="20" t="s">
        <v>894</v>
      </c>
      <c r="C190" s="20" t="s">
        <v>895</v>
      </c>
      <c r="D190" s="20" t="s">
        <v>352</v>
      </c>
    </row>
    <row r="191" spans="1:4" x14ac:dyDescent="0.65">
      <c r="A191" s="20" t="s">
        <v>896</v>
      </c>
      <c r="B191" s="20" t="s">
        <v>897</v>
      </c>
      <c r="C191" s="20" t="s">
        <v>898</v>
      </c>
      <c r="D191" s="20" t="s">
        <v>352</v>
      </c>
    </row>
    <row r="192" spans="1:4" hidden="1" x14ac:dyDescent="0.65">
      <c r="A192" s="20" t="s">
        <v>899</v>
      </c>
      <c r="B192" s="20" t="s">
        <v>900</v>
      </c>
      <c r="C192" s="20" t="s">
        <v>901</v>
      </c>
      <c r="D192" s="20"/>
    </row>
    <row r="193" spans="1:4" x14ac:dyDescent="0.65">
      <c r="A193" s="20" t="s">
        <v>902</v>
      </c>
      <c r="B193" s="20" t="s">
        <v>903</v>
      </c>
      <c r="C193" s="20" t="s">
        <v>904</v>
      </c>
      <c r="D193" s="20" t="s">
        <v>352</v>
      </c>
    </row>
    <row r="194" spans="1:4" x14ac:dyDescent="0.65">
      <c r="A194" s="20" t="s">
        <v>905</v>
      </c>
      <c r="B194" s="20" t="s">
        <v>906</v>
      </c>
      <c r="C194" s="20" t="s">
        <v>907</v>
      </c>
      <c r="D194" s="20" t="s">
        <v>352</v>
      </c>
    </row>
    <row r="195" spans="1:4" hidden="1" x14ac:dyDescent="0.65">
      <c r="A195" s="20" t="s">
        <v>908</v>
      </c>
      <c r="B195" s="20" t="s">
        <v>909</v>
      </c>
      <c r="C195" s="20" t="s">
        <v>910</v>
      </c>
    </row>
    <row r="196" spans="1:4" hidden="1" x14ac:dyDescent="0.65">
      <c r="A196" s="20" t="s">
        <v>911</v>
      </c>
      <c r="B196" s="20" t="s">
        <v>912</v>
      </c>
      <c r="C196" s="20" t="s">
        <v>913</v>
      </c>
    </row>
    <row r="197" spans="1:4" hidden="1" x14ac:dyDescent="0.65">
      <c r="A197" s="20" t="s">
        <v>914</v>
      </c>
      <c r="B197" s="20" t="s">
        <v>915</v>
      </c>
      <c r="C197" s="20" t="s">
        <v>916</v>
      </c>
    </row>
    <row r="198" spans="1:4" hidden="1" x14ac:dyDescent="0.65">
      <c r="A198" s="20" t="s">
        <v>917</v>
      </c>
      <c r="B198" s="20" t="s">
        <v>918</v>
      </c>
      <c r="C198" s="20" t="s">
        <v>919</v>
      </c>
    </row>
    <row r="199" spans="1:4" hidden="1" x14ac:dyDescent="0.65">
      <c r="A199" s="20" t="s">
        <v>920</v>
      </c>
      <c r="B199" s="20" t="s">
        <v>921</v>
      </c>
      <c r="C199" s="20" t="s">
        <v>922</v>
      </c>
    </row>
    <row r="200" spans="1:4" hidden="1" x14ac:dyDescent="0.65">
      <c r="A200" s="20" t="s">
        <v>923</v>
      </c>
      <c r="B200" s="20" t="s">
        <v>924</v>
      </c>
      <c r="C200" s="20" t="s">
        <v>925</v>
      </c>
    </row>
    <row r="201" spans="1:4" hidden="1" x14ac:dyDescent="0.65">
      <c r="A201" s="20" t="s">
        <v>926</v>
      </c>
      <c r="B201" s="20" t="s">
        <v>927</v>
      </c>
      <c r="C201" s="20" t="s">
        <v>928</v>
      </c>
    </row>
    <row r="202" spans="1:4" hidden="1" x14ac:dyDescent="0.65">
      <c r="A202" s="20" t="s">
        <v>929</v>
      </c>
      <c r="B202" s="20" t="s">
        <v>930</v>
      </c>
      <c r="C202" s="20" t="s">
        <v>931</v>
      </c>
    </row>
    <row r="203" spans="1:4" hidden="1" x14ac:dyDescent="0.65">
      <c r="A203" s="20" t="s">
        <v>932</v>
      </c>
      <c r="B203" s="20" t="s">
        <v>933</v>
      </c>
      <c r="C203" s="20" t="s">
        <v>934</v>
      </c>
    </row>
    <row r="204" spans="1:4" hidden="1" x14ac:dyDescent="0.65">
      <c r="A204" s="20" t="s">
        <v>935</v>
      </c>
      <c r="B204" s="20" t="s">
        <v>936</v>
      </c>
      <c r="C204" s="20" t="s">
        <v>937</v>
      </c>
    </row>
    <row r="205" spans="1:4" x14ac:dyDescent="0.65">
      <c r="A205" s="20" t="s">
        <v>938</v>
      </c>
      <c r="B205" s="20" t="s">
        <v>939</v>
      </c>
      <c r="C205" s="20" t="s">
        <v>940</v>
      </c>
      <c r="D205" s="20" t="s">
        <v>352</v>
      </c>
    </row>
    <row r="206" spans="1:4" hidden="1" x14ac:dyDescent="0.65">
      <c r="A206" s="20" t="s">
        <v>941</v>
      </c>
      <c r="B206" s="20" t="s">
        <v>942</v>
      </c>
      <c r="C206" s="20" t="s">
        <v>943</v>
      </c>
    </row>
    <row r="207" spans="1:4" hidden="1" x14ac:dyDescent="0.65">
      <c r="A207" s="20" t="s">
        <v>944</v>
      </c>
      <c r="B207" s="20" t="s">
        <v>945</v>
      </c>
      <c r="C207" s="20" t="s">
        <v>946</v>
      </c>
    </row>
    <row r="208" spans="1:4" hidden="1" x14ac:dyDescent="0.65">
      <c r="A208" s="20" t="s">
        <v>947</v>
      </c>
      <c r="B208" s="20" t="s">
        <v>948</v>
      </c>
      <c r="C208" s="20" t="s">
        <v>949</v>
      </c>
    </row>
    <row r="209" spans="1:4" hidden="1" x14ac:dyDescent="0.65">
      <c r="A209" s="20" t="s">
        <v>950</v>
      </c>
      <c r="B209" s="20" t="s">
        <v>951</v>
      </c>
      <c r="C209" s="20" t="s">
        <v>952</v>
      </c>
    </row>
    <row r="210" spans="1:4" hidden="1" x14ac:dyDescent="0.65">
      <c r="A210" s="20" t="s">
        <v>953</v>
      </c>
      <c r="B210" s="20" t="s">
        <v>954</v>
      </c>
      <c r="C210" s="20" t="s">
        <v>955</v>
      </c>
    </row>
    <row r="211" spans="1:4" hidden="1" x14ac:dyDescent="0.65">
      <c r="A211" s="20" t="s">
        <v>956</v>
      </c>
      <c r="B211" s="20" t="s">
        <v>957</v>
      </c>
      <c r="C211" s="20" t="s">
        <v>958</v>
      </c>
    </row>
    <row r="212" spans="1:4" hidden="1" x14ac:dyDescent="0.65">
      <c r="A212" s="20" t="s">
        <v>959</v>
      </c>
      <c r="B212" s="20" t="s">
        <v>960</v>
      </c>
      <c r="C212" s="20" t="s">
        <v>961</v>
      </c>
    </row>
    <row r="213" spans="1:4" hidden="1" x14ac:dyDescent="0.65">
      <c r="A213" s="20" t="s">
        <v>962</v>
      </c>
      <c r="B213" s="20" t="s">
        <v>963</v>
      </c>
      <c r="C213" s="20" t="s">
        <v>964</v>
      </c>
    </row>
    <row r="214" spans="1:4" hidden="1" x14ac:dyDescent="0.65">
      <c r="A214" s="20" t="s">
        <v>965</v>
      </c>
      <c r="B214" s="20" t="s">
        <v>966</v>
      </c>
      <c r="C214" s="20" t="s">
        <v>967</v>
      </c>
    </row>
    <row r="215" spans="1:4" hidden="1" x14ac:dyDescent="0.65">
      <c r="A215" s="20" t="s">
        <v>968</v>
      </c>
      <c r="B215" s="20" t="s">
        <v>969</v>
      </c>
      <c r="C215" s="20" t="s">
        <v>970</v>
      </c>
    </row>
    <row r="216" spans="1:4" hidden="1" x14ac:dyDescent="0.65">
      <c r="A216" s="20" t="s">
        <v>971</v>
      </c>
      <c r="B216" s="20" t="s">
        <v>972</v>
      </c>
      <c r="C216" s="20" t="s">
        <v>973</v>
      </c>
    </row>
    <row r="217" spans="1:4" hidden="1" x14ac:dyDescent="0.65">
      <c r="A217" s="20" t="s">
        <v>974</v>
      </c>
      <c r="B217" s="20" t="s">
        <v>975</v>
      </c>
      <c r="C217" s="20" t="s">
        <v>976</v>
      </c>
    </row>
    <row r="218" spans="1:4" hidden="1" x14ac:dyDescent="0.65">
      <c r="A218" s="20" t="s">
        <v>977</v>
      </c>
      <c r="B218" s="20" t="s">
        <v>978</v>
      </c>
      <c r="C218" s="20" t="s">
        <v>979</v>
      </c>
    </row>
    <row r="219" spans="1:4" hidden="1" x14ac:dyDescent="0.65">
      <c r="A219" s="20" t="s">
        <v>980</v>
      </c>
      <c r="B219" s="20" t="s">
        <v>981</v>
      </c>
      <c r="C219" s="20" t="s">
        <v>982</v>
      </c>
    </row>
    <row r="220" spans="1:4" x14ac:dyDescent="0.65">
      <c r="A220" s="20" t="s">
        <v>492</v>
      </c>
      <c r="B220" s="20" t="s">
        <v>493</v>
      </c>
      <c r="C220" s="20" t="s">
        <v>494</v>
      </c>
      <c r="D220" s="20" t="s">
        <v>352</v>
      </c>
    </row>
    <row r="221" spans="1:4" hidden="1" x14ac:dyDescent="0.65">
      <c r="A221" s="20" t="s">
        <v>983</v>
      </c>
      <c r="B221" s="20" t="s">
        <v>984</v>
      </c>
      <c r="C221" s="20" t="s">
        <v>985</v>
      </c>
    </row>
    <row r="222" spans="1:4" hidden="1" x14ac:dyDescent="0.65">
      <c r="A222" s="20" t="s">
        <v>986</v>
      </c>
      <c r="B222" s="20" t="s">
        <v>987</v>
      </c>
      <c r="C222" s="20" t="s">
        <v>988</v>
      </c>
    </row>
    <row r="223" spans="1:4" hidden="1" x14ac:dyDescent="0.65">
      <c r="A223" s="20" t="s">
        <v>989</v>
      </c>
      <c r="B223" s="20" t="s">
        <v>990</v>
      </c>
      <c r="C223" s="20" t="s">
        <v>991</v>
      </c>
    </row>
    <row r="224" spans="1:4" hidden="1" x14ac:dyDescent="0.65">
      <c r="A224" s="20" t="s">
        <v>992</v>
      </c>
      <c r="B224" s="20" t="s">
        <v>993</v>
      </c>
      <c r="C224" s="20" t="s">
        <v>994</v>
      </c>
    </row>
    <row r="225" spans="1:3" hidden="1" x14ac:dyDescent="0.65">
      <c r="A225" s="20" t="s">
        <v>995</v>
      </c>
      <c r="B225" s="20" t="s">
        <v>996</v>
      </c>
      <c r="C225" s="20" t="s">
        <v>997</v>
      </c>
    </row>
    <row r="226" spans="1:3" hidden="1" x14ac:dyDescent="0.65">
      <c r="A226" s="20" t="s">
        <v>998</v>
      </c>
      <c r="B226" s="20" t="s">
        <v>999</v>
      </c>
      <c r="C226" s="20" t="s">
        <v>1000</v>
      </c>
    </row>
    <row r="227" spans="1:3" hidden="1" x14ac:dyDescent="0.65">
      <c r="A227" s="20" t="s">
        <v>1001</v>
      </c>
      <c r="B227" s="20" t="s">
        <v>1002</v>
      </c>
      <c r="C227" s="20" t="s">
        <v>1003</v>
      </c>
    </row>
    <row r="228" spans="1:3" hidden="1" x14ac:dyDescent="0.65">
      <c r="A228" s="20" t="s">
        <v>1004</v>
      </c>
      <c r="B228" s="20" t="s">
        <v>1005</v>
      </c>
      <c r="C228" s="20" t="s">
        <v>1006</v>
      </c>
    </row>
    <row r="229" spans="1:3" hidden="1" x14ac:dyDescent="0.65">
      <c r="A229" s="20" t="s">
        <v>1007</v>
      </c>
      <c r="B229" s="20" t="s">
        <v>1008</v>
      </c>
      <c r="C229" s="20" t="s">
        <v>1009</v>
      </c>
    </row>
    <row r="230" spans="1:3" hidden="1" x14ac:dyDescent="0.65">
      <c r="A230" s="20" t="s">
        <v>1010</v>
      </c>
      <c r="B230" s="20" t="s">
        <v>1011</v>
      </c>
      <c r="C230" s="20" t="s">
        <v>1012</v>
      </c>
    </row>
    <row r="231" spans="1:3" hidden="1" x14ac:dyDescent="0.65">
      <c r="A231" s="20" t="s">
        <v>1013</v>
      </c>
      <c r="B231" s="20" t="s">
        <v>1014</v>
      </c>
      <c r="C231" s="20" t="s">
        <v>1015</v>
      </c>
    </row>
    <row r="232" spans="1:3" hidden="1" x14ac:dyDescent="0.65">
      <c r="A232" s="20" t="s">
        <v>1016</v>
      </c>
      <c r="B232" s="20" t="s">
        <v>1017</v>
      </c>
      <c r="C232" s="20" t="s">
        <v>1018</v>
      </c>
    </row>
    <row r="233" spans="1:3" hidden="1" x14ac:dyDescent="0.65">
      <c r="A233" s="20" t="s">
        <v>1019</v>
      </c>
      <c r="B233" s="20" t="s">
        <v>1020</v>
      </c>
      <c r="C233" s="20" t="s">
        <v>1021</v>
      </c>
    </row>
    <row r="234" spans="1:3" hidden="1" x14ac:dyDescent="0.65">
      <c r="A234" s="20" t="s">
        <v>1022</v>
      </c>
      <c r="B234" s="20" t="s">
        <v>1023</v>
      </c>
      <c r="C234" s="20" t="s">
        <v>1024</v>
      </c>
    </row>
    <row r="235" spans="1:3" hidden="1" x14ac:dyDescent="0.65">
      <c r="A235" s="20" t="s">
        <v>1025</v>
      </c>
      <c r="B235" s="20" t="s">
        <v>1026</v>
      </c>
      <c r="C235" s="20" t="s">
        <v>1027</v>
      </c>
    </row>
    <row r="236" spans="1:3" hidden="1" x14ac:dyDescent="0.65">
      <c r="A236" s="20" t="s">
        <v>1028</v>
      </c>
      <c r="B236" s="20" t="s">
        <v>1029</v>
      </c>
      <c r="C236" s="20" t="s">
        <v>1030</v>
      </c>
    </row>
    <row r="237" spans="1:3" hidden="1" x14ac:dyDescent="0.65">
      <c r="A237" s="20" t="s">
        <v>1031</v>
      </c>
      <c r="B237" s="20" t="s">
        <v>1032</v>
      </c>
      <c r="C237" s="20" t="s">
        <v>1033</v>
      </c>
    </row>
    <row r="238" spans="1:3" hidden="1" x14ac:dyDescent="0.65">
      <c r="A238" s="20" t="s">
        <v>1034</v>
      </c>
      <c r="B238" s="20" t="s">
        <v>1035</v>
      </c>
      <c r="C238" s="20" t="s">
        <v>1036</v>
      </c>
    </row>
    <row r="239" spans="1:3" hidden="1" x14ac:dyDescent="0.65">
      <c r="A239" s="20" t="s">
        <v>1037</v>
      </c>
      <c r="B239" s="20" t="s">
        <v>1038</v>
      </c>
      <c r="C239" s="20" t="s">
        <v>1039</v>
      </c>
    </row>
    <row r="240" spans="1:3" hidden="1" x14ac:dyDescent="0.65">
      <c r="A240" s="20" t="s">
        <v>1040</v>
      </c>
      <c r="B240" s="20" t="s">
        <v>1041</v>
      </c>
      <c r="C240" s="20" t="s">
        <v>1042</v>
      </c>
    </row>
    <row r="241" spans="1:3" hidden="1" x14ac:dyDescent="0.65">
      <c r="A241" s="20" t="s">
        <v>1043</v>
      </c>
      <c r="B241" s="20" t="s">
        <v>1044</v>
      </c>
      <c r="C241" s="20" t="s">
        <v>1045</v>
      </c>
    </row>
    <row r="242" spans="1:3" hidden="1" x14ac:dyDescent="0.65">
      <c r="A242" s="20" t="s">
        <v>1046</v>
      </c>
      <c r="B242" s="20" t="s">
        <v>1047</v>
      </c>
      <c r="C242" s="20" t="s">
        <v>1048</v>
      </c>
    </row>
    <row r="243" spans="1:3" hidden="1" x14ac:dyDescent="0.65">
      <c r="A243" s="20" t="s">
        <v>1049</v>
      </c>
      <c r="B243" s="20" t="s">
        <v>1050</v>
      </c>
      <c r="C243" s="20" t="s">
        <v>1051</v>
      </c>
    </row>
    <row r="244" spans="1:3" hidden="1" x14ac:dyDescent="0.65">
      <c r="A244" s="20" t="s">
        <v>1052</v>
      </c>
      <c r="B244" s="20" t="s">
        <v>1053</v>
      </c>
      <c r="C244" s="20" t="s">
        <v>1054</v>
      </c>
    </row>
    <row r="245" spans="1:3" hidden="1" x14ac:dyDescent="0.65">
      <c r="A245" s="20" t="s">
        <v>1055</v>
      </c>
      <c r="B245" s="20" t="s">
        <v>1056</v>
      </c>
      <c r="C245" s="20" t="s">
        <v>1057</v>
      </c>
    </row>
    <row r="246" spans="1:3" hidden="1" x14ac:dyDescent="0.65">
      <c r="A246" s="20" t="s">
        <v>1058</v>
      </c>
      <c r="B246" s="20" t="s">
        <v>1059</v>
      </c>
      <c r="C246" s="20" t="s">
        <v>1060</v>
      </c>
    </row>
    <row r="247" spans="1:3" hidden="1" x14ac:dyDescent="0.65">
      <c r="A247" s="20" t="s">
        <v>1061</v>
      </c>
      <c r="B247" s="20" t="s">
        <v>1062</v>
      </c>
      <c r="C247" s="20" t="s">
        <v>1063</v>
      </c>
    </row>
    <row r="248" spans="1:3" hidden="1" x14ac:dyDescent="0.65">
      <c r="A248" s="20" t="s">
        <v>1064</v>
      </c>
      <c r="B248" s="20" t="s">
        <v>1065</v>
      </c>
      <c r="C248" s="20" t="s">
        <v>1066</v>
      </c>
    </row>
    <row r="249" spans="1:3" hidden="1" x14ac:dyDescent="0.65">
      <c r="A249" s="20" t="s">
        <v>1067</v>
      </c>
      <c r="B249" s="20" t="s">
        <v>1068</v>
      </c>
      <c r="C249" s="20" t="s">
        <v>1069</v>
      </c>
    </row>
    <row r="250" spans="1:3" hidden="1" x14ac:dyDescent="0.65">
      <c r="A250" s="20" t="s">
        <v>1070</v>
      </c>
      <c r="B250" s="20" t="s">
        <v>1071</v>
      </c>
      <c r="C250" s="20" t="s">
        <v>1072</v>
      </c>
    </row>
    <row r="251" spans="1:3" hidden="1" x14ac:dyDescent="0.65">
      <c r="A251" s="20" t="s">
        <v>1073</v>
      </c>
      <c r="B251" s="20" t="s">
        <v>1074</v>
      </c>
      <c r="C251" s="20" t="s">
        <v>1075</v>
      </c>
    </row>
    <row r="252" spans="1:3" hidden="1" x14ac:dyDescent="0.65">
      <c r="A252" s="20" t="s">
        <v>1076</v>
      </c>
      <c r="B252" s="20" t="s">
        <v>1077</v>
      </c>
      <c r="C252" s="20" t="s">
        <v>1078</v>
      </c>
    </row>
    <row r="253" spans="1:3" hidden="1" x14ac:dyDescent="0.65">
      <c r="A253" s="20" t="s">
        <v>1079</v>
      </c>
      <c r="B253" s="20" t="s">
        <v>1080</v>
      </c>
      <c r="C253" s="20" t="s">
        <v>1081</v>
      </c>
    </row>
    <row r="254" spans="1:3" hidden="1" x14ac:dyDescent="0.65">
      <c r="A254" s="20" t="s">
        <v>1082</v>
      </c>
      <c r="B254" s="20" t="s">
        <v>1083</v>
      </c>
      <c r="C254" s="20" t="s">
        <v>1084</v>
      </c>
    </row>
    <row r="255" spans="1:3" hidden="1" x14ac:dyDescent="0.65">
      <c r="A255" s="20" t="s">
        <v>1085</v>
      </c>
      <c r="B255" s="20" t="s">
        <v>1086</v>
      </c>
      <c r="C255" s="20" t="s">
        <v>1087</v>
      </c>
    </row>
    <row r="256" spans="1:3" hidden="1" x14ac:dyDescent="0.65">
      <c r="A256" s="20" t="s">
        <v>1088</v>
      </c>
      <c r="B256" s="20" t="s">
        <v>1089</v>
      </c>
      <c r="C256" s="20" t="s">
        <v>1090</v>
      </c>
    </row>
    <row r="257" spans="1:3" hidden="1" x14ac:dyDescent="0.65">
      <c r="A257" s="20" t="s">
        <v>1091</v>
      </c>
      <c r="B257" s="20" t="s">
        <v>1092</v>
      </c>
      <c r="C257" s="20" t="s">
        <v>1093</v>
      </c>
    </row>
    <row r="258" spans="1:3" hidden="1" x14ac:dyDescent="0.65">
      <c r="A258" s="20" t="s">
        <v>1094</v>
      </c>
      <c r="B258" s="20" t="s">
        <v>1095</v>
      </c>
      <c r="C258" s="20" t="s">
        <v>1096</v>
      </c>
    </row>
    <row r="259" spans="1:3" hidden="1" x14ac:dyDescent="0.65">
      <c r="A259" s="20" t="s">
        <v>1097</v>
      </c>
      <c r="B259" s="20" t="s">
        <v>1098</v>
      </c>
      <c r="C259" s="20" t="s">
        <v>1099</v>
      </c>
    </row>
    <row r="260" spans="1:3" hidden="1" x14ac:dyDescent="0.65">
      <c r="A260" s="20" t="s">
        <v>1100</v>
      </c>
      <c r="B260" s="20" t="s">
        <v>1101</v>
      </c>
      <c r="C260" s="20" t="s">
        <v>1102</v>
      </c>
    </row>
    <row r="261" spans="1:3" hidden="1" x14ac:dyDescent="0.65">
      <c r="A261" s="20" t="s">
        <v>1103</v>
      </c>
      <c r="B261" s="20" t="s">
        <v>1104</v>
      </c>
      <c r="C261" s="20" t="s">
        <v>1105</v>
      </c>
    </row>
    <row r="262" spans="1:3" hidden="1" x14ac:dyDescent="0.65">
      <c r="A262" s="20" t="s">
        <v>1106</v>
      </c>
      <c r="B262" s="20" t="s">
        <v>1107</v>
      </c>
      <c r="C262" s="20" t="s">
        <v>1108</v>
      </c>
    </row>
    <row r="263" spans="1:3" hidden="1" x14ac:dyDescent="0.65">
      <c r="A263" s="20" t="s">
        <v>1109</v>
      </c>
      <c r="B263" s="20" t="s">
        <v>1110</v>
      </c>
      <c r="C263" s="20" t="s">
        <v>979</v>
      </c>
    </row>
    <row r="264" spans="1:3" hidden="1" x14ac:dyDescent="0.65">
      <c r="A264" s="20" t="s">
        <v>1111</v>
      </c>
      <c r="B264" s="20" t="s">
        <v>1112</v>
      </c>
      <c r="C264" s="20" t="s">
        <v>1113</v>
      </c>
    </row>
    <row r="265" spans="1:3" hidden="1" x14ac:dyDescent="0.65">
      <c r="A265" s="20" t="s">
        <v>1114</v>
      </c>
      <c r="B265" s="20" t="s">
        <v>1115</v>
      </c>
      <c r="C265" s="20" t="s">
        <v>1116</v>
      </c>
    </row>
    <row r="266" spans="1:3" hidden="1" x14ac:dyDescent="0.65">
      <c r="A266" s="20" t="s">
        <v>1117</v>
      </c>
      <c r="B266" s="20" t="s">
        <v>1118</v>
      </c>
      <c r="C266" s="20" t="s">
        <v>1119</v>
      </c>
    </row>
    <row r="267" spans="1:3" hidden="1" x14ac:dyDescent="0.65">
      <c r="A267" s="20" t="s">
        <v>1120</v>
      </c>
      <c r="B267" s="20" t="s">
        <v>1121</v>
      </c>
      <c r="C267" s="20" t="s">
        <v>1122</v>
      </c>
    </row>
    <row r="268" spans="1:3" hidden="1" x14ac:dyDescent="0.65">
      <c r="A268" s="20" t="s">
        <v>1123</v>
      </c>
      <c r="B268" s="20" t="s">
        <v>1092</v>
      </c>
      <c r="C268" s="20" t="s">
        <v>1124</v>
      </c>
    </row>
    <row r="269" spans="1:3" hidden="1" x14ac:dyDescent="0.65">
      <c r="A269" s="20" t="s">
        <v>1125</v>
      </c>
      <c r="B269" s="20" t="s">
        <v>1126</v>
      </c>
      <c r="C269" s="20" t="s">
        <v>1127</v>
      </c>
    </row>
    <row r="270" spans="1:3" hidden="1" x14ac:dyDescent="0.65">
      <c r="A270" s="20" t="s">
        <v>1128</v>
      </c>
      <c r="B270" s="20" t="s">
        <v>1129</v>
      </c>
      <c r="C270" s="20" t="s">
        <v>1130</v>
      </c>
    </row>
    <row r="271" spans="1:3" hidden="1" x14ac:dyDescent="0.65">
      <c r="A271" s="20" t="s">
        <v>1131</v>
      </c>
      <c r="B271" s="20" t="s">
        <v>1132</v>
      </c>
      <c r="C271" s="20" t="s">
        <v>1133</v>
      </c>
    </row>
    <row r="272" spans="1:3" hidden="1" x14ac:dyDescent="0.65">
      <c r="A272" s="20" t="s">
        <v>1134</v>
      </c>
      <c r="B272" s="20" t="s">
        <v>1092</v>
      </c>
      <c r="C272" s="20" t="s">
        <v>1135</v>
      </c>
    </row>
    <row r="273" spans="1:3" hidden="1" x14ac:dyDescent="0.65">
      <c r="A273" s="20" t="s">
        <v>1136</v>
      </c>
      <c r="B273" s="20" t="s">
        <v>1126</v>
      </c>
      <c r="C273" s="20" t="s">
        <v>1137</v>
      </c>
    </row>
    <row r="274" spans="1:3" hidden="1" x14ac:dyDescent="0.65">
      <c r="A274" s="20" t="s">
        <v>1138</v>
      </c>
      <c r="B274" s="20" t="s">
        <v>1129</v>
      </c>
      <c r="C274" s="20" t="s">
        <v>1139</v>
      </c>
    </row>
    <row r="275" spans="1:3" hidden="1" x14ac:dyDescent="0.65">
      <c r="A275" s="20" t="s">
        <v>1140</v>
      </c>
      <c r="B275" s="20" t="s">
        <v>1141</v>
      </c>
      <c r="C275" s="20" t="s">
        <v>1142</v>
      </c>
    </row>
    <row r="276" spans="1:3" hidden="1" x14ac:dyDescent="0.65">
      <c r="A276" s="20" t="s">
        <v>1143</v>
      </c>
      <c r="B276" s="20" t="s">
        <v>1144</v>
      </c>
      <c r="C276" s="20" t="s">
        <v>1145</v>
      </c>
    </row>
    <row r="277" spans="1:3" hidden="1" x14ac:dyDescent="0.65">
      <c r="A277" s="20" t="s">
        <v>1146</v>
      </c>
      <c r="B277" s="20" t="s">
        <v>1147</v>
      </c>
      <c r="C277" s="20" t="s">
        <v>1148</v>
      </c>
    </row>
    <row r="278" spans="1:3" hidden="1" x14ac:dyDescent="0.65">
      <c r="A278" s="20" t="s">
        <v>1149</v>
      </c>
      <c r="B278" s="20" t="s">
        <v>1150</v>
      </c>
      <c r="C278" s="20" t="s">
        <v>1151</v>
      </c>
    </row>
    <row r="279" spans="1:3" hidden="1" x14ac:dyDescent="0.65">
      <c r="A279" s="20" t="s">
        <v>1152</v>
      </c>
      <c r="B279" s="20" t="s">
        <v>1153</v>
      </c>
      <c r="C279" s="20" t="s">
        <v>1154</v>
      </c>
    </row>
    <row r="280" spans="1:3" hidden="1" x14ac:dyDescent="0.65">
      <c r="A280" s="20" t="s">
        <v>1155</v>
      </c>
      <c r="B280" s="20" t="s">
        <v>1156</v>
      </c>
      <c r="C280" s="20" t="s">
        <v>1157</v>
      </c>
    </row>
    <row r="281" spans="1:3" hidden="1" x14ac:dyDescent="0.65">
      <c r="A281" s="20" t="s">
        <v>1158</v>
      </c>
      <c r="B281" s="20" t="s">
        <v>1159</v>
      </c>
      <c r="C281" s="20" t="s">
        <v>1160</v>
      </c>
    </row>
    <row r="282" spans="1:3" hidden="1" x14ac:dyDescent="0.65">
      <c r="A282" s="20" t="s">
        <v>1161</v>
      </c>
      <c r="B282" s="20" t="s">
        <v>1162</v>
      </c>
      <c r="C282" s="20" t="s">
        <v>1163</v>
      </c>
    </row>
    <row r="283" spans="1:3" hidden="1" x14ac:dyDescent="0.65">
      <c r="A283" s="20" t="s">
        <v>1164</v>
      </c>
      <c r="B283" s="20" t="s">
        <v>1165</v>
      </c>
      <c r="C283" s="20" t="s">
        <v>1166</v>
      </c>
    </row>
    <row r="284" spans="1:3" hidden="1" x14ac:dyDescent="0.65">
      <c r="A284" s="20" t="s">
        <v>1167</v>
      </c>
      <c r="B284" s="20" t="s">
        <v>1168</v>
      </c>
      <c r="C284" s="20" t="s">
        <v>1169</v>
      </c>
    </row>
    <row r="285" spans="1:3" hidden="1" x14ac:dyDescent="0.65">
      <c r="A285" s="20" t="s">
        <v>1170</v>
      </c>
      <c r="B285" s="20" t="s">
        <v>1171</v>
      </c>
      <c r="C285" s="20" t="s">
        <v>1172</v>
      </c>
    </row>
    <row r="286" spans="1:3" hidden="1" x14ac:dyDescent="0.65">
      <c r="A286" s="20" t="s">
        <v>1173</v>
      </c>
      <c r="B286" s="20" t="s">
        <v>1174</v>
      </c>
      <c r="C286" s="20" t="s">
        <v>1175</v>
      </c>
    </row>
    <row r="287" spans="1:3" hidden="1" x14ac:dyDescent="0.65">
      <c r="A287" s="20" t="s">
        <v>1176</v>
      </c>
      <c r="B287" s="20" t="s">
        <v>1177</v>
      </c>
      <c r="C287" s="20" t="s">
        <v>1178</v>
      </c>
    </row>
    <row r="288" spans="1:3" hidden="1" x14ac:dyDescent="0.65">
      <c r="A288" s="20" t="s">
        <v>1179</v>
      </c>
      <c r="B288" s="20" t="s">
        <v>1180</v>
      </c>
      <c r="C288" s="20" t="s">
        <v>1181</v>
      </c>
    </row>
    <row r="289" spans="1:3" hidden="1" x14ac:dyDescent="0.65">
      <c r="A289" s="20" t="s">
        <v>1182</v>
      </c>
      <c r="B289" s="20" t="s">
        <v>1183</v>
      </c>
      <c r="C289" s="20" t="s">
        <v>1184</v>
      </c>
    </row>
    <row r="290" spans="1:3" hidden="1" x14ac:dyDescent="0.65">
      <c r="A290" s="20" t="s">
        <v>1185</v>
      </c>
      <c r="B290" s="20" t="s">
        <v>1186</v>
      </c>
      <c r="C290" s="20" t="s">
        <v>1187</v>
      </c>
    </row>
    <row r="291" spans="1:3" hidden="1" x14ac:dyDescent="0.65">
      <c r="A291" s="20" t="s">
        <v>1188</v>
      </c>
      <c r="B291" s="20" t="s">
        <v>1189</v>
      </c>
      <c r="C291" s="20" t="s">
        <v>1190</v>
      </c>
    </row>
    <row r="292" spans="1:3" hidden="1" x14ac:dyDescent="0.65">
      <c r="A292" s="20" t="s">
        <v>1191</v>
      </c>
      <c r="B292" s="20" t="s">
        <v>1192</v>
      </c>
      <c r="C292" s="20" t="s">
        <v>1193</v>
      </c>
    </row>
    <row r="293" spans="1:3" hidden="1" x14ac:dyDescent="0.65">
      <c r="A293" s="20" t="s">
        <v>1194</v>
      </c>
      <c r="B293" s="20" t="s">
        <v>1095</v>
      </c>
      <c r="C293" s="20" t="s">
        <v>1195</v>
      </c>
    </row>
    <row r="294" spans="1:3" hidden="1" x14ac:dyDescent="0.65">
      <c r="A294" s="20" t="s">
        <v>1196</v>
      </c>
      <c r="B294" s="20" t="s">
        <v>1197</v>
      </c>
      <c r="C294" s="20" t="s">
        <v>1198</v>
      </c>
    </row>
    <row r="295" spans="1:3" hidden="1" x14ac:dyDescent="0.65">
      <c r="A295" s="20" t="s">
        <v>1199</v>
      </c>
      <c r="B295" s="20" t="s">
        <v>1200</v>
      </c>
      <c r="C295" s="20" t="s">
        <v>1201</v>
      </c>
    </row>
  </sheetData>
  <autoFilter ref="A1:D295" xr:uid="{00000000-0009-0000-0000-000007000000}">
    <filterColumn colId="3">
      <customFilters>
        <customFilter operator="notEqual" val=" "/>
      </customFilters>
    </filterColumn>
  </autoFilter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8</vt:i4>
      </vt:variant>
    </vt:vector>
  </HeadingPairs>
  <TitlesOfParts>
    <vt:vector size="8" baseType="lpstr">
      <vt:lpstr>데이터 유형</vt:lpstr>
      <vt:lpstr>데이터 요구사항</vt:lpstr>
      <vt:lpstr>데이터소스</vt:lpstr>
      <vt:lpstr>자동수집데이터리스트</vt:lpstr>
      <vt:lpstr>수동수집데이터리스트</vt:lpstr>
      <vt:lpstr>확산추세_필수요구데이터</vt:lpstr>
      <vt:lpstr>기타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JunWook Lee</dc:creator>
  <cp:lastModifiedBy>성식 박</cp:lastModifiedBy>
  <cp:lastPrinted>2025-08-27T01:05:02Z</cp:lastPrinted>
  <dcterms:created xsi:type="dcterms:W3CDTF">2025-06-16T06:06:39Z</dcterms:created>
  <dcterms:modified xsi:type="dcterms:W3CDTF">2025-12-16T02:10:57Z</dcterms:modified>
</cp:coreProperties>
</file>
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uyeong/Downloads/"/>
    </mc:Choice>
  </mc:AlternateContent>
  <xr:revisionPtr revIDLastSave="0" documentId="13_ncr:1_{7134D553-1AD6-DA48-A7A1-5E8CD5517987}" xr6:coauthVersionLast="47" xr6:coauthVersionMax="47" xr10:uidLastSave="{00000000-0000-0000-0000-000000000000}"/>
  <bookViews>
    <workbookView xWindow="820" yWindow="1000" windowWidth="51200" windowHeight="26520" activeTab="17" xr2:uid="{00000000-000D-0000-FFFF-FFFF00000000}"/>
  </bookViews>
  <sheets>
    <sheet name="Dataset Summary" sheetId="1" r:id="rId1"/>
    <sheet name="ds_0101" sheetId="2" r:id="rId2"/>
    <sheet name="ds_0102" sheetId="3" r:id="rId3"/>
    <sheet name="ds_0103" sheetId="4" r:id="rId4"/>
    <sheet name="ds_0104" sheetId="5" r:id="rId5"/>
    <sheet name="ds_0105" sheetId="6" r:id="rId6"/>
    <sheet name="ds_0106" sheetId="7" r:id="rId7"/>
    <sheet name="ds_0107" sheetId="8" r:id="rId8"/>
    <sheet name="ds_0108" sheetId="9" r:id="rId9"/>
    <sheet name="ds_0109" sheetId="10" r:id="rId10"/>
    <sheet name="ds_0110" sheetId="11" r:id="rId11"/>
    <sheet name="ds_0111" sheetId="12" r:id="rId12"/>
    <sheet name="ds_0201" sheetId="15" r:id="rId13"/>
    <sheet name="ds_0202" sheetId="16" r:id="rId14"/>
    <sheet name="ds_0401" sheetId="17" r:id="rId15"/>
    <sheet name="ds_0501" sheetId="18" r:id="rId16"/>
    <sheet name="ds_0502" sheetId="19" r:id="rId17"/>
    <sheet name="ds_0503" sheetId="20" r:id="rId18"/>
    <sheet name="ds_0504" sheetId="21" r:id="rId19"/>
    <sheet name="ds_0505" sheetId="22" r:id="rId20"/>
    <sheet name="ds_0506" sheetId="23" r:id="rId21"/>
    <sheet name="ds_0507" sheetId="24" r:id="rId22"/>
    <sheet name="ds_0701" sheetId="25" r:id="rId23"/>
    <sheet name="ds_0801" sheetId="26" r:id="rId24"/>
    <sheet name="ds_0901" sheetId="27"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7" l="1"/>
  <c r="C5" i="27"/>
  <c r="C4" i="27"/>
  <c r="C3" i="27"/>
  <c r="B9" i="27" a="1"/>
  <c r="B9" i="27" s="1"/>
  <c r="C10" i="26" a="1"/>
  <c r="C10" i="26" s="1"/>
  <c r="C4" i="26"/>
  <c r="D10" i="26" a="1"/>
  <c r="D10" i="26" s="1"/>
  <c r="C7" i="26"/>
  <c r="B10" i="26" s="1" a="1"/>
  <c r="B10" i="26" s="1"/>
  <c r="C6" i="26"/>
  <c r="C5" i="26"/>
  <c r="C9" i="25" a="1"/>
  <c r="C9" i="25" s="1"/>
  <c r="D9" i="25" a="1"/>
  <c r="D9" i="25" s="1"/>
  <c r="C6" i="25"/>
  <c r="C5" i="25"/>
  <c r="C4" i="25"/>
  <c r="C3" i="25"/>
  <c r="B9" i="25" a="1"/>
  <c r="B9" i="25" s="1"/>
  <c r="C10" i="24" a="1"/>
  <c r="C10" i="24" s="1"/>
  <c r="D10" i="24" a="1"/>
  <c r="D10" i="24" s="1"/>
  <c r="C7" i="24"/>
  <c r="B10" i="24" s="1" a="1"/>
  <c r="B10" i="24" s="1"/>
  <c r="C4" i="24"/>
  <c r="C6" i="24"/>
  <c r="C5" i="24"/>
  <c r="C9" i="23" a="1"/>
  <c r="C9" i="23" s="1"/>
  <c r="D9" i="23" a="1"/>
  <c r="D9" i="23" s="1"/>
  <c r="C6" i="23"/>
  <c r="C5" i="23"/>
  <c r="C4" i="23"/>
  <c r="C3" i="23"/>
  <c r="B9" i="23" a="1"/>
  <c r="B9" i="23" s="1"/>
  <c r="C9" i="22" a="1"/>
  <c r="C9" i="22" s="1"/>
  <c r="D9" i="22" a="1"/>
  <c r="D9" i="22" s="1"/>
  <c r="C6" i="22"/>
  <c r="C5" i="22"/>
  <c r="C4" i="22"/>
  <c r="C3" i="22"/>
  <c r="B9" i="22" a="1"/>
  <c r="B9" i="22" s="1"/>
  <c r="D10" i="21" a="1"/>
  <c r="D10" i="21" s="1"/>
  <c r="C7" i="21"/>
  <c r="C6" i="21"/>
  <c r="C4" i="21"/>
  <c r="B10" i="21" a="1"/>
  <c r="B10" i="21" s="1"/>
  <c r="C5" i="21"/>
  <c r="C3" i="20"/>
  <c r="D9" i="20" a="1"/>
  <c r="D9" i="20" s="1"/>
  <c r="C6" i="20"/>
  <c r="C5" i="20"/>
  <c r="C4" i="20"/>
  <c r="B9" i="20" a="1"/>
  <c r="B9" i="20" s="1"/>
  <c r="C6" i="19"/>
  <c r="C5" i="19"/>
  <c r="C4" i="19"/>
  <c r="C3" i="19"/>
  <c r="D9" i="19" a="1"/>
  <c r="D9" i="19" s="1"/>
  <c r="B9" i="19" a="1"/>
  <c r="B9" i="19" s="1"/>
  <c r="C6" i="18"/>
  <c r="D9" i="18" a="1"/>
  <c r="D9" i="18" s="1"/>
  <c r="B9" i="18" a="1"/>
  <c r="C5" i="18"/>
  <c r="C4" i="18"/>
  <c r="C3" i="18"/>
  <c r="D10" i="17" a="1"/>
  <c r="D10" i="17" s="1"/>
  <c r="B10" i="17" a="1"/>
  <c r="B10" i="17" s="1"/>
  <c r="C7" i="17"/>
  <c r="C6" i="17"/>
  <c r="C5" i="17"/>
  <c r="C4" i="17"/>
  <c r="C4" i="16"/>
  <c r="C5" i="16"/>
  <c r="C6" i="16"/>
  <c r="C7" i="16"/>
  <c r="C5" i="12"/>
  <c r="C6" i="15"/>
  <c r="B9" i="15" s="1" a="1"/>
  <c r="B9" i="15" s="1"/>
  <c r="C5" i="15"/>
  <c r="C4" i="15"/>
  <c r="B10" i="16" a="1"/>
  <c r="B10" i="16" s="1"/>
  <c r="C3" i="15"/>
  <c r="C3" i="12"/>
  <c r="C4" i="12"/>
  <c r="C6" i="12"/>
  <c r="B9" i="12" s="1" a="1"/>
  <c r="B9" i="12" s="1"/>
  <c r="C6" i="11"/>
  <c r="B9" i="11" s="1" a="1"/>
  <c r="B9" i="11" s="1"/>
  <c r="C5" i="11"/>
  <c r="C4" i="11"/>
  <c r="C3" i="11"/>
  <c r="C6" i="10"/>
  <c r="C5" i="10"/>
  <c r="C4" i="10"/>
  <c r="C3" i="10"/>
  <c r="B9" i="10" a="1"/>
  <c r="B9" i="10" s="1"/>
  <c r="C6" i="9"/>
  <c r="B9" i="9" s="1" a="1"/>
  <c r="B9" i="9" s="1"/>
  <c r="C5" i="9"/>
  <c r="C4" i="9"/>
  <c r="C3" i="9"/>
  <c r="C6" i="8"/>
  <c r="B9" i="8" s="1" a="1"/>
  <c r="B9" i="8" s="1"/>
  <c r="C5" i="8"/>
  <c r="C4" i="8"/>
  <c r="C3" i="8"/>
  <c r="C6" i="7"/>
  <c r="B9" i="7" s="1" a="1"/>
  <c r="B9" i="7" s="1"/>
  <c r="C5" i="7"/>
  <c r="C4" i="7"/>
  <c r="C3" i="7"/>
  <c r="C6" i="6"/>
  <c r="B9" i="6" s="1" a="1"/>
  <c r="B9" i="6" s="1"/>
  <c r="C5" i="6"/>
  <c r="C4" i="6"/>
  <c r="C3" i="6"/>
  <c r="C6" i="5"/>
  <c r="B9" i="5" s="1" a="1"/>
  <c r="B9" i="5" s="1"/>
  <c r="C5" i="5"/>
  <c r="C4" i="5"/>
  <c r="C3" i="5"/>
  <c r="C6" i="4"/>
  <c r="B9" i="4" s="1" a="1"/>
  <c r="B9" i="4" s="1"/>
  <c r="C5" i="4"/>
  <c r="C4" i="4"/>
  <c r="C3" i="4"/>
  <c r="C5" i="3"/>
  <c r="B9" i="3" a="1"/>
  <c r="B9" i="3" s="1"/>
  <c r="B11" i="2" a="1"/>
  <c r="B11" i="2" s="1"/>
  <c r="C6" i="3"/>
  <c r="C4" i="3"/>
  <c r="C3" i="3"/>
  <c r="C6" i="2"/>
  <c r="C5" i="2"/>
  <c r="C4" i="2"/>
  <c r="C3" i="2"/>
  <c r="B9" i="1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<sst xmlns="http://schemas.openxmlformats.org/spreadsheetml/2006/main" count="453" uniqueCount="118">
  <si>
    <t>dsID</t>
  </si>
  <si>
    <t>데이터셋 설명</t>
  </si>
  <si>
    <t>데이터 갯수(count)</t>
  </si>
  <si>
    <t>ds_0101</t>
  </si>
  <si>
    <t>인플루엔자 의사환자 비율</t>
  </si>
  <si>
    <t>인플루엔자 유행단계</t>
  </si>
  <si>
    <t>급성호흡기감염증 환자 중 인플루엔자 환자 수(ARI)</t>
  </si>
  <si>
    <t>중증급성호흡기감염증 환자 중 인플루엔자 환자 수(SARI)</t>
  </si>
  <si>
    <t>의원급 의료기관 인플루엔자 검출률(K-RISS)-아형별</t>
  </si>
  <si>
    <t>의원급 의료기관 인플루엔자 검출률(K-RISS)-연령대별</t>
  </si>
  <si>
    <t>검사기관 인플루엔자 검출률-아형별</t>
  </si>
  <si>
    <t>검사기관 인플루엔자 검출률-연령대별</t>
  </si>
  <si>
    <t>응급실 인플루엔자 환자 수(NEDIS)</t>
  </si>
  <si>
    <t>인플루엔자 예방접종률-어르신</t>
  </si>
  <si>
    <t>인플루엔자 예방접종률-어린이</t>
  </si>
  <si>
    <t>의료통계정보-지역별 종별 의료인력</t>
  </si>
  <si>
    <t>질병 세분류(4단 상병) 통계-성별/연령별</t>
  </si>
  <si>
    <t>성별 및 연령별 인구와 인구밀도</t>
  </si>
  <si>
    <t>전국 지역별 인구밀도</t>
  </si>
  <si>
    <t>전국 응급의료기관 실시간 현황 정보</t>
  </si>
  <si>
    <t>감염성질환(인플루엔자) 의료이용정보</t>
  </si>
  <si>
    <t>ds_0503</t>
  </si>
  <si>
    <t>대기오염 통계</t>
  </si>
  <si>
    <t>국경일/공휴일 정보</t>
  </si>
  <si>
    <t>지점별 종관기상관측(ASOS) 시간자료</t>
  </si>
  <si>
    <t>ds_0506</t>
  </si>
  <si>
    <t>의약품사용정보</t>
  </si>
  <si>
    <t>인플루엔자 시군구별 국가예방접종 현황</t>
  </si>
  <si>
    <t>WHO FluNet</t>
  </si>
  <si>
    <t>구글 트렌드</t>
  </si>
  <si>
    <t>ds_0801</t>
  </si>
  <si>
    <t>네이버 트렌드</t>
  </si>
  <si>
    <t>X(트위터) 트렌드</t>
  </si>
  <si>
    <t>0세,1-6세,7-12세,13-18세,19-49세,50-64세,65세 이상,연도,주차</t>
    <phoneticPr fontId="5" type="noConversion"/>
  </si>
  <si>
    <t>label</t>
    <phoneticPr fontId="5" type="noConversion"/>
  </si>
  <si>
    <r>
      <t>주차,</t>
    </r>
    <r>
      <rPr>
        <sz val="12"/>
        <color rgb="FF569CD6"/>
        <rFont val="Menlo"/>
        <family val="2"/>
      </rPr>
      <t>연령대,</t>
    </r>
    <r>
      <rPr>
        <sz val="12"/>
        <color rgb="FFDCDCAA"/>
        <rFont val="Menlo"/>
        <family val="2"/>
      </rPr>
      <t>�연도,</t>
    </r>
    <r>
      <rPr>
        <sz val="12"/>
        <color rgb="FF6A9955"/>
        <rFont val="Menlo"/>
        <family val="2"/>
      </rPr>
      <t>입원환자 수</t>
    </r>
  </si>
  <si>
    <t>adm_cd,adm_nm,avg_age,corp_cnt,imga_cnt,tot_house,tot_ppltn,imga_ppltn,nongga_cnt,tot_family,ppltn_dnsty,employee_cnt,haesuoga_cnt,naesuoga_cnt,nongga_ppltn,juv_suprt_per,aged_child_idx,haesuoga_ppltn,naesuoga_ppltn,avg_fmember_cnt,oldage_suprt_per,[</t>
    <phoneticPr fontId="5" type="noConversion"/>
  </si>
  <si>
    <t>연도,주차,연령대,예방접종률</t>
    <phoneticPr fontId="5" type="noConversion"/>
  </si>
  <si>
    <t>항목,성별구분,연령구분5세,환자수,내원일수,청구건수,요양급여비용총액,보험자부담금</t>
    <phoneticPr fontId="5" type="noConversion"/>
  </si>
  <si>
    <t>dsID</t>
    <phoneticPr fontId="5" type="noConversion"/>
  </si>
  <si>
    <t>데이터셋 설명</t>
    <phoneticPr fontId="5" type="noConversion"/>
  </si>
  <si>
    <t>데이터 갯수</t>
    <phoneticPr fontId="5" type="noConversion"/>
  </si>
  <si>
    <t>String</t>
    <phoneticPr fontId="5" type="noConversion"/>
  </si>
  <si>
    <t>Int</t>
    <phoneticPr fontId="5" type="noConversion"/>
  </si>
  <si>
    <t>ds_0102</t>
    <phoneticPr fontId="5" type="noConversion"/>
  </si>
  <si>
    <t>데이터 수집 시작 기간 : 2025-08-01</t>
    <phoneticPr fontId="5" type="noConversion"/>
  </si>
  <si>
    <t>ds_0103</t>
    <phoneticPr fontId="5" type="noConversion"/>
  </si>
  <si>
    <r>
      <t>38,</t>
    </r>
    <r>
      <rPr>
        <sz val="12"/>
        <color rgb="FF569CD6"/>
        <rFont val="Menlo"/>
        <family val="2"/>
      </rPr>
      <t>65세이상,</t>
    </r>
    <r>
      <rPr>
        <sz val="12"/>
        <color rgb="FFDCDCAA"/>
        <rFont val="Menlo"/>
        <family val="2"/>
      </rPr>
      <t>2025,</t>
    </r>
    <r>
      <rPr>
        <sz val="12"/>
        <color rgb="FF6A9955"/>
        <rFont val="Menlo"/>
        <family val="2"/>
      </rPr>
      <t>16</t>
    </r>
  </si>
  <si>
    <r>
      <t>38,</t>
    </r>
    <r>
      <rPr>
        <sz val="12"/>
        <color rgb="FF569CD6"/>
        <rFont val="Menlo"/>
        <family val="2"/>
      </rPr>
      <t>50-64세,</t>
    </r>
    <r>
      <rPr>
        <sz val="12"/>
        <color rgb="FFDCDCAA"/>
        <rFont val="Menlo"/>
        <family val="2"/>
      </rPr>
      <t>2025,</t>
    </r>
    <r>
      <rPr>
        <sz val="12"/>
        <color rgb="FF6A9955"/>
        <rFont val="Menlo"/>
        <family val="2"/>
      </rPr>
      <t>2</t>
    </r>
  </si>
  <si>
    <r>
      <t>38,</t>
    </r>
    <r>
      <rPr>
        <sz val="12"/>
        <color rgb="FF569CD6"/>
        <rFont val="Menlo"/>
        <family val="2"/>
      </rPr>
      <t>19-49세,</t>
    </r>
    <r>
      <rPr>
        <sz val="12"/>
        <color rgb="FFDCDCAA"/>
        <rFont val="Menlo"/>
        <family val="2"/>
      </rPr>
      <t>2025,</t>
    </r>
    <r>
      <rPr>
        <sz val="12"/>
        <color rgb="FF6A9955"/>
        <rFont val="Menlo"/>
        <family val="2"/>
      </rPr>
      <t>1</t>
    </r>
  </si>
  <si>
    <r>
      <t>38,</t>
    </r>
    <r>
      <rPr>
        <sz val="12"/>
        <color rgb="FF569CD6"/>
        <rFont val="Menlo"/>
        <family val="2"/>
      </rPr>
      <t>13-18세,</t>
    </r>
    <r>
      <rPr>
        <sz val="12"/>
        <color rgb="FFDCDCAA"/>
        <rFont val="Menlo"/>
        <family val="2"/>
      </rPr>
      <t>2025,</t>
    </r>
    <r>
      <rPr>
        <sz val="12"/>
        <color rgb="FF6A9955"/>
        <rFont val="Menlo"/>
        <family val="2"/>
      </rPr>
      <t>3</t>
    </r>
  </si>
  <si>
    <r>
      <t>38,</t>
    </r>
    <r>
      <rPr>
        <sz val="12"/>
        <color rgb="FF569CD6"/>
        <rFont val="Menlo"/>
        <family val="2"/>
      </rPr>
      <t>7-12세,</t>
    </r>
    <r>
      <rPr>
        <sz val="12"/>
        <color rgb="FFDCDCAA"/>
        <rFont val="Menlo"/>
        <family val="2"/>
      </rPr>
      <t>2025,</t>
    </r>
    <r>
      <rPr>
        <sz val="12"/>
        <color rgb="FF6A9955"/>
        <rFont val="Menlo"/>
        <family val="2"/>
      </rPr>
      <t>7</t>
    </r>
  </si>
  <si>
    <r>
      <t>38,</t>
    </r>
    <r>
      <rPr>
        <sz val="12"/>
        <color rgb="FF569CD6"/>
        <rFont val="Menlo"/>
        <family val="2"/>
      </rPr>
      <t>1-6세,</t>
    </r>
    <r>
      <rPr>
        <sz val="12"/>
        <color rgb="FFDCDCAA"/>
        <rFont val="Menlo"/>
        <family val="2"/>
      </rPr>
      <t>2025,</t>
    </r>
    <r>
      <rPr>
        <sz val="12"/>
        <color rgb="FF6A9955"/>
        <rFont val="Menlo"/>
        <family val="2"/>
      </rPr>
      <t>13</t>
    </r>
  </si>
  <si>
    <r>
      <t>38,</t>
    </r>
    <r>
      <rPr>
        <sz val="12"/>
        <color rgb="FF569CD6"/>
        <rFont val="Menlo"/>
        <family val="2"/>
      </rPr>
      <t>0세,</t>
    </r>
    <r>
      <rPr>
        <sz val="12"/>
        <color rgb="FFDCDCAA"/>
        <rFont val="Menlo"/>
        <family val="2"/>
      </rPr>
      <t>2025,</t>
    </r>
    <r>
      <rPr>
        <sz val="12"/>
        <color rgb="FF6A9955"/>
        <rFont val="Menlo"/>
        <family val="2"/>
      </rPr>
      <t>1</t>
    </r>
  </si>
  <si>
    <t>ds_0104</t>
    <phoneticPr fontId="5" type="noConversion"/>
  </si>
  <si>
    <r>
      <t>38,</t>
    </r>
    <r>
      <rPr>
        <sz val="12"/>
        <color rgb="FF569CD6"/>
        <rFont val="Menlo"/>
        <family val="2"/>
      </rPr>
      <t>65세이상,</t>
    </r>
    <r>
      <rPr>
        <sz val="12"/>
        <color rgb="FFDCDCAA"/>
        <rFont val="Menlo"/>
        <family val="2"/>
      </rPr>
      <t>2025,</t>
    </r>
    <r>
      <rPr>
        <sz val="12"/>
        <color rgb="FF6A9955"/>
        <rFont val="Menlo"/>
        <family val="2"/>
      </rPr>
      <t>4</t>
    </r>
  </si>
  <si>
    <r>
      <t>38,</t>
    </r>
    <r>
      <rPr>
        <sz val="12"/>
        <color rgb="FF569CD6"/>
        <rFont val="Menlo"/>
        <family val="2"/>
      </rPr>
      <t>50-64세,</t>
    </r>
    <r>
      <rPr>
        <sz val="12"/>
        <color rgb="FFDCDCAA"/>
        <rFont val="Menlo"/>
        <family val="2"/>
      </rPr>
      <t>2025,</t>
    </r>
    <r>
      <rPr>
        <sz val="12"/>
        <color rgb="FF6A9955"/>
        <rFont val="Menlo"/>
        <family val="2"/>
      </rPr>
      <t>1</t>
    </r>
  </si>
  <si>
    <r>
      <t>38,</t>
    </r>
    <r>
      <rPr>
        <sz val="12"/>
        <color rgb="FF569CD6"/>
        <rFont val="Menlo"/>
        <family val="2"/>
      </rPr>
      <t>19-49세,</t>
    </r>
    <r>
      <rPr>
        <sz val="12"/>
        <color rgb="FFDCDCAA"/>
        <rFont val="Menlo"/>
        <family val="2"/>
      </rPr>
      <t>2025,</t>
    </r>
    <r>
      <rPr>
        <sz val="12"/>
        <color rgb="FF6A9955"/>
        <rFont val="Menlo"/>
        <family val="2"/>
      </rPr>
      <t>0</t>
    </r>
  </si>
  <si>
    <r>
      <t>38,</t>
    </r>
    <r>
      <rPr>
        <sz val="12"/>
        <color rgb="FF569CD6"/>
        <rFont val="Menlo"/>
        <family val="2"/>
      </rPr>
      <t>13-18세,</t>
    </r>
    <r>
      <rPr>
        <sz val="12"/>
        <color rgb="FFDCDCAA"/>
        <rFont val="Menlo"/>
        <family val="2"/>
      </rPr>
      <t>2025,</t>
    </r>
    <r>
      <rPr>
        <sz val="12"/>
        <color rgb="FF6A9955"/>
        <rFont val="Menlo"/>
        <family val="2"/>
      </rPr>
      <t>0</t>
    </r>
  </si>
  <si>
    <r>
      <t>38,</t>
    </r>
    <r>
      <rPr>
        <sz val="12"/>
        <color rgb="FF569CD6"/>
        <rFont val="Menlo"/>
        <family val="2"/>
      </rPr>
      <t>7-12세,</t>
    </r>
    <r>
      <rPr>
        <sz val="12"/>
        <color rgb="FFDCDCAA"/>
        <rFont val="Menlo"/>
        <family val="2"/>
      </rPr>
      <t>2025,</t>
    </r>
    <r>
      <rPr>
        <sz val="12"/>
        <color rgb="FF6A9955"/>
        <rFont val="Menlo"/>
        <family val="2"/>
      </rPr>
      <t>1</t>
    </r>
  </si>
  <si>
    <r>
      <t>38,</t>
    </r>
    <r>
      <rPr>
        <sz val="12"/>
        <color rgb="FF569CD6"/>
        <rFont val="Menlo"/>
        <family val="2"/>
      </rPr>
      <t>1-6세,</t>
    </r>
    <r>
      <rPr>
        <sz val="12"/>
        <color rgb="FFDCDCAA"/>
        <rFont val="Menlo"/>
        <family val="2"/>
      </rPr>
      <t>2025,</t>
    </r>
    <r>
      <rPr>
        <sz val="12"/>
        <color rgb="FF6A9955"/>
        <rFont val="Menlo"/>
        <family val="2"/>
      </rPr>
      <t>0</t>
    </r>
  </si>
  <si>
    <t>ds_0105</t>
    <phoneticPr fontId="5" type="noConversion"/>
  </si>
  <si>
    <t>ds_0106</t>
    <phoneticPr fontId="5" type="noConversion"/>
  </si>
  <si>
    <t>ds_0107</t>
    <phoneticPr fontId="5" type="noConversion"/>
  </si>
  <si>
    <t>ds_0108</t>
    <phoneticPr fontId="5" type="noConversion"/>
  </si>
  <si>
    <t>NULL or Int</t>
    <phoneticPr fontId="5" type="noConversion"/>
  </si>
  <si>
    <t>ds_0109</t>
    <phoneticPr fontId="5" type="noConversion"/>
  </si>
  <si>
    <t>ds_0110</t>
    <phoneticPr fontId="5" type="noConversion"/>
  </si>
  <si>
    <t>ds_0111</t>
    <phoneticPr fontId="5" type="noConversion"/>
  </si>
  <si>
    <t>ds_0201</t>
    <phoneticPr fontId="5" type="noConversion"/>
  </si>
  <si>
    <t>10569,15,서울특별시,10423,627,183,1452,31829,3176,27587,883,5456,164,7518,3901,3022,4390,902,431,77,87,소계</t>
    <phoneticPr fontId="5" type="noConversion"/>
  </si>
  <si>
    <t>ds_0202</t>
    <phoneticPr fontId="5" type="noConversion"/>
  </si>
  <si>
    <t>ds_0301</t>
    <phoneticPr fontId="5" type="noConversion"/>
  </si>
  <si>
    <r>
      <t>11010530,</t>
    </r>
    <r>
      <rPr>
        <sz val="12"/>
        <color rgb="FF569CD6"/>
        <rFont val="Menlo"/>
        <family val="2"/>
      </rPr>
      <t>사직동,</t>
    </r>
    <r>
      <rPr>
        <sz val="12"/>
        <color rgb="FFDCDCAA"/>
        <rFont val="Menlo"/>
        <family val="2"/>
      </rPr>
      <t>46.4,</t>
    </r>
    <r>
      <rPr>
        <sz val="12"/>
        <color rgb="FF6A9955"/>
        <rFont val="Menlo"/>
        <family val="2"/>
      </rPr>
      <t>4855,</t>
    </r>
    <r>
      <rPr>
        <sz val="12"/>
        <color rgb="FFCE9178"/>
        <rFont val="Menlo"/>
        <family val="2"/>
      </rPr>
      <t>N/A,</t>
    </r>
    <r>
      <rPr>
        <sz val="12"/>
        <color rgb="FF9CDCFE"/>
        <rFont val="Menlo"/>
        <family val="2"/>
      </rPr>
      <t>2559,</t>
    </r>
    <r>
      <rPr>
        <sz val="12"/>
        <color rgb="FFB5CEA8"/>
        <rFont val="Menlo"/>
        <family val="2"/>
      </rPr>
      <t>8377,</t>
    </r>
    <r>
      <rPr>
        <sz val="12"/>
        <color rgb="FF4EC9B0"/>
        <rFont val="Menlo"/>
        <family val="2"/>
      </rPr>
      <t>N/A,</t>
    </r>
    <r>
      <rPr>
        <b/>
        <sz val="12"/>
        <color rgb="FF569CD6"/>
        <rFont val="Menlo"/>
        <family val="2"/>
      </rPr>
      <t>N/A,</t>
    </r>
    <r>
      <rPr>
        <sz val="12"/>
        <color rgb="FFF44747"/>
        <rFont val="Menlo"/>
        <family val="2"/>
      </rPr>
      <t>3937,</t>
    </r>
    <r>
      <rPr>
        <sz val="12"/>
        <color rgb="FFD4D4D4"/>
        <rFont val="Menlo"/>
        <family val="2"/>
      </rPr>
      <t>7236.1,</t>
    </r>
    <r>
      <rPr>
        <sz val="12"/>
        <color rgb="FF569CD6"/>
        <rFont val="Menlo"/>
        <family val="2"/>
      </rPr>
      <t>57319,</t>
    </r>
    <r>
      <rPr>
        <sz val="12"/>
        <color rgb="FFDCDCAA"/>
        <rFont val="Menlo"/>
        <family val="2"/>
      </rPr>
      <t>N/A,</t>
    </r>
    <r>
      <rPr>
        <sz val="12"/>
        <color rgb="FF6A9955"/>
        <rFont val="Menlo"/>
        <family val="2"/>
      </rPr>
      <t>N/A,</t>
    </r>
    <r>
      <rPr>
        <sz val="12"/>
        <color rgb="FFCE9178"/>
        <rFont val="Menlo"/>
        <family val="2"/>
      </rPr>
      <t>N/A,</t>
    </r>
    <r>
      <rPr>
        <sz val="12"/>
        <color rgb="FF9CDCFE"/>
        <rFont val="Menlo"/>
        <family val="2"/>
      </rPr>
      <t>11.2,</t>
    </r>
    <r>
      <rPr>
        <sz val="12"/>
        <color rgb="FFB5CEA8"/>
        <rFont val="Menlo"/>
        <family val="2"/>
      </rPr>
      <t>263.4,</t>
    </r>
    <r>
      <rPr>
        <sz val="12"/>
        <color rgb="FF4EC9B0"/>
        <rFont val="Menlo"/>
        <family val="2"/>
      </rPr>
      <t>N/A,</t>
    </r>
    <r>
      <rPr>
        <b/>
        <sz val="12"/>
        <color rgb="FF569CD6"/>
        <rFont val="Menlo"/>
        <family val="2"/>
      </rPr>
      <t>N/A,</t>
    </r>
    <r>
      <rPr>
        <sz val="12"/>
        <color rgb="FFF44747"/>
        <rFont val="Menlo"/>
        <family val="2"/>
      </rPr>
      <t>2,</t>
    </r>
    <r>
      <rPr>
        <sz val="12"/>
        <color rgb="FFD4D4D4"/>
        <rFont val="Menlo"/>
        <family val="2"/>
      </rPr>
      <t>29.4,</t>
    </r>
  </si>
  <si>
    <t>Null</t>
    <phoneticPr fontId="5" type="noConversion"/>
  </si>
  <si>
    <t>행정구역을 구분하기 위한 행정동 코드,행정구역의 명칭(행정동 이름),해당 지역 주민의 평균 연령,해당 지역에 등록된 사업체 수,해당 지역에 거주하는 이주민 가구 수,해당 지역의 전체 가구 수,해당 지역의 총 인구 수,해당 지역에 거주하는 이주민 인구 수,해당 지역의 농가 수,해당 지역의 전체 가족 수,단위 면적당 인구 수를 나타내는 인구 밀도,해당 지역에 종사하는 전체 근로자 수,해당 지역의 해수면 어업 가구 수,해당 지역의 내수면 어업 가구 수,해당 지역의 농가 인구 수,유소년 인구를 부양하는 생산가능인구의 비율,노년 인구 대비 유소년 인구의 비율을 나타내는 지수,해수면 어업에 종사하는 인구 수,내수면 어업에 종사하는 인구 수,가구당 평균 가족 구성원 수,노년 인구를 부양하는 생산가능인구의 비율</t>
    <phoneticPr fontId="5" type="noConversion"/>
  </si>
  <si>
    <t>ds_0401</t>
    <phoneticPr fontId="5" type="noConversion"/>
  </si>
  <si>
    <t>ds_0501</t>
    <phoneticPr fontId="5" type="noConversion"/>
  </si>
  <si>
    <t>응급실 가용 병상 수(구분 2),응급실 가용 병상 수(구분 3),응급실 가용 병상 수(구분 5),응급실 가용 병상 수(구분 6),응급실 가용 병상 수(구분 7),응급실 가용 병상 수(구분 9),의료기관 고유 식별자,응급실 가용 병상 수(구분 10),응급실 가용 병상 수(구분 11),응급실 가용 병상 수(구분 13),응급실 가용 병상 수(구분 14),응급실 가용 병상 수(구분 15),응급실 가용 병상 수(구분 16),응급실 가용 병상 수(구분 17),응급실 가용 병상 수(구분 18),응급실 가용 병상 수(구분 19),응급실 가용 병상 수(구분 21),응급실 가용 병상 수(구분 22),응급실 가용 병상 수(구분 23),응급실 가용 병상 수(구분 24),응급실 가용 병상 수(구분 25),응급실 가용 병상 수(구분 26),응급실 가용 병상 수(구분 27),응급실 가용 병상 수(구분 28),응급실 가용 병상 수(구분 29),응급실 가용 병상 수(구분 30),응급실 가용 병상 수(구분 31),응급실 가용 병상 수(구분 32),응급실 가용 병상 수(구분 33),응급실 가용 병상 수(구분 34),응급실 가용 병상 수(구분 35),응급실 가용 병상 수(구분 36),응급실 가용 병상 수(구분 37),응급실 가용 병상 수(구분 38),응급실 가용 병상 수(구분 39),응급실 가용 병상 수(구분 40),응급실 가용 병상 수(구분 41),응급실 가용 병상 수(구분 42),응급실 가용 병상 수(구분 43),중환자실 가용 병상 수,격리 병상 가용 여부,일반 병상 가용 여부,수술실 가용 여부,접수 순번,응급실 중증 병상 가용 여부,응급실 일반 병상 가용 여부,응급실 음압 병상 가용 여부,소아응급실 진료 가능 여부,소아중환자실 진료 가능 여부,신생아중환자실 진료 가능 여부,외상응급 진료 가능 여부,화상응급 진료 가능 여부,심혈관 응급 진료 가능 여부,뇌혈관 응급 진료 가능 여부,중독 응급 진료 가능 여부,정신과 응급 진료 가능 여부,산과 응급 진료 가능 여부,소아외과 응급 진료 가능 여부,소아내과 응급 진료 가능 여부,소아외상 응급 진료 가능 여부,중증외상 진료 가능 여부,중환자 치료 가능 여부,혈액투석 가능 여부,응급수술 가능 여부,응급내시경 가능 여부,응급영상진단 가능 여부,응급CT 가능 여부,응급MRI 가능 여부,응급혈관조영 가능 여부,응급인공호흡기 사용 가능 여부,응급투석 가능 여부,응급저체온치료 가능 여부,응급심폐소생 가능 여부,응급ECMO 가능 여부,응급산소공급 가능 여부,응급중환자실 운영 여부,응급전문의 상주 여부,응급간호사 상주 여부,응급의료기관 운영 여부,응급실 혼잡도 정보,응급실 접수 가능 여부,응급실 진료 가능 여부,응급실 운영 상태,응급실 대기 시간 정보,응급실 수용 가능 상태,응급실 응급환자 수용 가능 여부,응급실 일반환자 수용 가능 여부,응급실 중증환자 수용 가능 여부,응급실 소아환자 수용 가능 여부,응급실 산모환자 수용 가능 여부,응급실 외상환자 수용 가능 여부,응급실 심정지환자 수용 가능 여부,응급실 뇌졸중환자 수용 가능 여부,응급실 심근경색환자 수용 가능 여부,응급실 화상환자 수용 가능 여부,응급실 중독환자 수용 가능 여부,응급실 감염환자 수용 가능 여부,응급실 격리환자 수용 가능 여부,응급실 음압격리실 운영 여부,응급실 최신 정보 갱신 여부,의료기관 고유 ID,응급실 야간 운영 여부,응급실 주말 운영 여부,정보 기준 일시,응급실 대표 연락처,응급 MRI 장비 보유 여부,응급 산소 공급 가능 여부,응급 심폐소생술 가능 여부,응급 ECMO 장비 보유 여부,응급 저체온 치료 가능 여부,응급 인큐베이터 보유 여부,응급 혈관조영 장비 보유 여부,응급 인공호흡기 보유 여부,의료기관 명칭,응급 인공호흡기 격리 사용 가능 여부</t>
    <phoneticPr fontId="5" type="noConversion"/>
  </si>
  <si>
    <t>응급 의료기관 공식 명칭</t>
    <phoneticPr fontId="5" type="noConversion"/>
  </si>
  <si>
    <t>응급 인공호흡기 격리 사용 가능 여부</t>
    <phoneticPr fontId="5" type="noConversion"/>
  </si>
  <si>
    <t>Boolean</t>
    <phoneticPr fontId="5" type="noConversion"/>
  </si>
  <si>
    <t>ds_0502</t>
    <phoneticPr fontId="5" type="noConversion"/>
  </si>
  <si>
    <t>일산화탄소(CO) 측정값의 유효성 또는 상태를 나타내는 플래그,오존(O3) 측정값의 유효성 또는 상태를 나타내는 플래그,일산화탄소(CO) 대기질 등급,일산화탄소(CO) 농도 측정값,이산화질소(NO2) 측정값의 유효성 또는 상태를 나타내는 플래그,오존(O3) 대기질 등급,오존(O3) 농도 측정값,아황산가스(SO2) 측정값의 유효성 또는 상태를 나타내는 플래그,대기오염 정보의 측정 기준 시각,이산화질소(NO2) 대기질 등급,이산화질소(NO2) 농도 측정값,미세먼지(PM10) 측정값의 유효성 또는 상태를 나타내는 플래그,시도 단위의 지역명,아황산가스(SO2) 농도 측정값,아황산가스(SO2) 통합 대기질 등급,통합대기환경지수(KHAI) 값,미세먼지(PM10) 대기질 등급,미세먼지(PM10) 농도 측정값,대기질 측정소의 명칭,아황산가스(SO2) 대기질 등급</t>
    <phoneticPr fontId="5" type="noConversion"/>
  </si>
  <si>
    <t>ds_0504</t>
    <phoneticPr fontId="5" type="noConversion"/>
  </si>
  <si>
    <t>데이터의 고유 순번을 나타내는 식별자,해당 날짜를 나타내는 기준 일자(YYYYMMDD 형식),해당 날짜의 명칭(국경일·공휴일 이름 등),해당 날짜가 공휴일인지 여부를 나타내는 값,날짜의 구분 유형(국경일·공휴일·대체공휴일 등)</t>
    <phoneticPr fontId="5" type="noConversion"/>
  </si>
  <si>
    <t>ds_0505</t>
    <phoneticPr fontId="5" type="noConversion"/>
  </si>
  <si>
    <t>상대습도 값(%),해면기압 값(hPa),현지기압 값(hPa),증기압 값(hPa),강수량 값(mm),일조시간 값(시간),기온 값(℃),이슬점온도 값(℃),지면온도 값(℃),시정 값(m),풍향 값(도),풍속 값(m/s),적설량 값(cm),일사량 값(MJ/㎡),데이터 순번,저층운량 변화 코드,01시 기온 값,02시 기온 값,03시 기온 값,기상관측소 ID,기상관측소 명칭,관측 시각(YYYYMMDDHHMI),05시 기온 값,10분 누적 강수량,상대습도 품질관리 플래그,3시간 신적설 값,해면기압 품질관리 플래그,현지기압 품질관리 플래그,강수량 품질관리 플래그,일조시간 품질관리 플래그,기온 품질관리 플래그,지면온도 품질관리 플래그,풍향 품질관리 플래그,풍속 품질관리 플래그,지면상태 코드,운형 약어 코드,10분 최저운고 구분값,국내 기상현상 번호</t>
    <phoneticPr fontId="5" type="noConversion"/>
  </si>
  <si>
    <t>int,int,int,int,int,int,int,int,int,int,int,int,int,int,int,string,int,int,int,string,string,string,int,int,int,int,int,int,int,int,int,int,int,int,int,string,string,int</t>
    <phoneticPr fontId="5" type="noConversion"/>
  </si>
  <si>
    <t>진료가 발생한 기준 연월을 나타내는 값(YYYYMM 형식),시군구를 식별하기 위한 행정구역 코드,요양기관의 진료 구분을 나타내는 코드,시군구 행정구역의 명칭,시도 행정구역의 명칭,보험자 구분을 나타내는 코드,해당 의약품의 총 사용 수량,해당 의약품의 총 사용 금액,ATC 3단계 기준 의약품 분류 명칭,ATC 3단계 기준 의약품 분류 코드</t>
    <phoneticPr fontId="5" type="noConversion"/>
  </si>
  <si>
    <t>string,string,string,string,string,string,int,int,string,string</t>
    <phoneticPr fontId="5" type="noConversion"/>
  </si>
  <si>
    <t>ds_0507</t>
    <phoneticPr fontId="5" type="noConversion"/>
  </si>
  <si>
    <t>시군구 단위의 행정구역 명칭,시도 단위의 행정구역 명칭,2016-2017절기 어린이 남성 인구 수,2016-2017절기 어린이 남성 인구 대비 예방접종률,2016-2017절기 어린이 여성 인구 수,2016-2017절기 어린이 여성 인구 대비 예방접종률,2016-2017절기 어린이 전체 인구 수,2016-2017절기 어린이 전체 인구 대비 예방접종률,2017-2018절기 어린이 남성 인구 수,2017-2018절기 어린이 남성 인구 대비 예방접종률,2017-2018절기 어린이 여성 인구 수,2017-2018절기 어린이 여성 인구 대비 예방접종률,2017-2018절기 어린이 전체 인구 수,2017-2018절기 어린이 전체 인구 대비 예방접종률,2018-2019절기 어린이 남성 인구 수,2018-2019절기 어린이 남성 인구 대비 예방접종률,2018-2019절기 어린이 여성 인구 수,2018-2019절기 어린이 여성 인구 대비 예방접종률,2018-2019절기 어린이 전체 인구 수,2018-2019절기 어린이 전체 인구 대비 예방접종률,2019-2020절기 어린이 남성 인구 수,2019-2020절기 어린이 남성 인구 대비 예방접종률,2019-2020절기 어린이 여성 인구 수,2019-2020절기 어린이 여성 인구 대비 예방접종률,2019-2020절기 어린이 전체 인구 수,2019-2020절기 어린이 전체 인구 대비 예방접종률,2020-2021절기 어린이 남성 인구 수,2020-2021절기 어린이 남성 인구 대비 예방접종률,2020-2021절기 어린이 여성 인구 수,2020-2021절기 어린이 여성 인구 대비 예방접종률,2020-2021절기 어린이 전체 인구 수,2020-2021절기 어린이 전체 인구 대비 예방접종률,2021-2022절기 어린이 남성 인구 수,2021-2022절기 어린이 남성 인구 대비 예방접종률,2021-2022절기 어린이 여성 인구 수,2021-2022절기 어린이 여성 인구 대비 예방접종률,2021-2022절기 어린이 전체 인구 수,2021-2022절기 어린이 전체 인구 대비 예방접종률,2022-2023절기 어린이 남성 인구 수,2022-2023절기 어린이 남성 인구 대비 예방접종률,2022-2023절기 어린이 여성 인구 수,2022-2023절기 어린이 여성 인구 대비 예방접종률,2022-2023절기 어린이 전체 인구 수,2022-2023절기 어린이 전체 인구 대비 예방접종률,2023-2024절기 어린이 남성 인구 수,2023-2024절기 어린이 남성 인구 대비 예방접종률,2023-2024절기 어린이 여성 인구 수,2023-2024절기 어린이 여성 인구 대비 예방접종률,2023-2024절기 어린이 전체 인구 수,2023-2024절기 어린이 전체 인구 대비 예방접종률,2015-2016절기 65세 이상 남성 인구 수,2015-2016절기 65세 이상 남성 인구 대비 예방접종률,2015-2016절기 65세 이상 여성 인구 수,2015-2016절기 65세 이상 여성 인구 대비 예방접종률,2015-2016절기 65세 이상 전체 인구 수,2015-2016절기 65세 이상 전체 인구 대비 예방접종률,2016-2017절기 65세 이상 남성 인구 수,2016-2017절기 65세 이상 남성 인구 대비 예방접종률,2016-2017절기 65세 이상 여성 인구 수,2016-2017절기 65세 이상 여성 인구 대비 예방접종률,2016-2017절기 65세 이상 전체 인구 수,2016-2017절기 65세 이상 전체 인구 대비 예방접종률,2017-2018절기 65세 이상 남성 인구 수,2017-2018절기 65세 이상 남성 인구 대비 예방접종률,2017-2018절기 65세 이상 여성 인구 수,2017-2018절기 65세 이상 여성 인구 대비 예방접종률,2017-2018절기 65세 이상 전체 인구 수,2017-2018절기 65세 이상 전체 인구 대비 예방접종률,2018-2019절기 65세 이상 남성 인구 수,2018-2019절기 65세 이상 남성 인구 대비 예방접종률,2018-2019절기 65세 이상 여성 인구 수,2018-2019절기 65세 이상 여성 인구 대비 예방접종률,2018-2019절기 65세 이상 전체 인구 수,2018-2019절기 65세 이상 전체 인구 대비 예방접종률,2019-2020절기 65세 이상 남성 인구 수,2019-2020절기 65세 이상 남성 인구 대비 예방접종률,2019-2020절기 65세 이상 여성 인구 수,2019-2020절기 65세 이상 여성 인구 대비 예방접종률,2019-2020절기 65세 이상 전체 인구 수,2019-2020절기 65세 이상 전체 인구 대비 예방접종률,2020-2021절기 65세 이상 남성 인구 수,2020-2021절기 65세 이상 남성 인구 대비 예방접종률,2020-2021절기 65세 이상 여성 인구 수,2020-2021절기 65세 이상 여성 인구 대비 예방접종률,2020-2021절기 65세 이상 전체 인구 수,2020-2021절기 65세 이상 전체 인구 대비 예방접종률,2021-2022절기 65세 이상 남성 인구 수,2021-2022절기 65세 이상 남성 인구 대비 예방접종률,2021-2022절기 65세 이상 여성 인구 수,2021-2022절기 65세 이상 여성 인구 대비 예방접종률,2021-2022절기 65세 이상 전체 인구 수,2021-2022절기 65세 이상 전체 인구 대비 예방접종률,2022-2023절기 65세 이상 남성 인구 수,2022-2023절기 65세 이상 남성 인구 대비 예방접종률,2022-2023절기 65세 이상 여성 인구 수,2022-2023절기 65세 이상 여성 인구 대비 예방접종률,2022-2023절기 65세 이상 전체 인구 수,2022-2023절기 65세 이상 전체 인구 대비 예방접종률,2023-2024절기 65세 이상 남성 인구 수,2023-2024절기 65세 이상 남성 인구 대비 예방접종률,2023-2024절기 65세 이상 여성 인구 수,2023-2024절기 65세 이상 여성 인구 대비 예방접종률,2023-2024절기 65세 이상 전체 인구 수,2023-2024절기 65세 이상 전체 인구 대비 예방접종률,2019-2020절기 임신부 보건소 접종자 수,2020-2021절기 임신부 보건소 접종자 수,2021-2022절기 임신부 보건소 접종자 수,2022-2023절기 임신부 보건소 접종자 수,2023-2024절기 임신부 보건소 접종자 수,2019-2020절기 임신부 의료기관 접종자 수,2020-2021절기 임신부 의료기관 접종자 수,2021-2022절기 임신부 의료기관 접종자 수,2022-2023절기 임신부 의료기관 접종자 수,2023-2024절기 임신부 의료기관 접종자 수,2016-2017절기 어린이 남성 보건소 접종자 수,2016-2017절기 어린이 여성 보건소 접종자 수,2017-2018절기 어린이 남성 보건소 접종자 수,2017-2018절기 어린이 여성 보건소 접종자 수,2018-2019절기 어린이 남성 보건소 접종자 수,2018-2019절기 어린이 여성 보건소 접종자 수,2019-2020절기 어린이 남성 보건소 접종자 수,2019-2020절기 어린이 여성 보건소 접종자 수,2020-2021절기 어린이 남성 보건소 접종자 수,2020-2021절기 어린이 여성 보건소 접종자 수,2021-2022절기 어린이 남성 보건소 접종자 수,2021-2022절기 어린이 여성 보건소 접종자 수,2022-2023절기 어린이 남성 보건소 접종자 수,2022-2023절기 어린이 여성 보건소 접종자 수,2023-2024절기 어린이 남성 보건소 접종자 수,2023-2024절기 어린이 여성 보건소 접종자 수,2015-2016절기 65세 이상 남성 보건소 접종자 수,2015-2016절기 65세 이상 여성 보건소 접종자 수,2016-2017절기 65세 이상 남성 보건소 접종자 수,2016-2017절기 65세 이상 여성 보건소 접종자 수,2016-2017절기 어린이 남성 의료기관 접종자 수,2016-2017절기 어린이 여성 의료기관 접종자 수,2017-2018절기 65세 이상 남성 보건소 접종자 수,2017-2018절기 65세 이상 여성 보건소 접종자 수,2017-2018절기 어린이 남성 의료기관 접종자 수,2017-2018절기 어린이 여성 의료기관 접종자 수,2018-2019절기 65세 이상 남성 보건소 접종자 수,2018-2019절기 65세 이상 여성 보건소 접종자 수,2018-2019절기 어린이 남성 의료기관 접종자 수,2018-2019절기 어린이 여성 의료기관 접종자 수,2019-2020절기 65세 이상 남성 보건소 접종자 수,2019-2020절기 65세 이상 여성 보건소 접종자 수,2019-2020절기 어린이 남성 의료기관 접종자 수,2019-2020절기 어린이 여성 의료기관 접종자 수,2020-2021절기 65세 이상 남성 보건소 접종자 수,2020-2021절기 65세 이상 여성 보건소 접종자 수,2020-2021절기 어린이 남성 의료기관 접종자 수,2020-2021절기 어린이 여성 의료기관 접종자 수,2021-2022절기 65세 이상 남성 보건소 접종자 수,2021-2022절기 65세 이상 여성 보건소 접종자 수,2021-2022절기 어린이 남성 의료기관 접종자 수,2021-2022절기 어린이 여성 의료기관 접종자 수,2022-2023절기 65세 이상 남성 보건소 접종자 수,2022-2023절기 65세 이상 여성 보건소 접종자 수,2022-2023절기 어린이 남성 의료기관 접종자 수,2022-2023절기 어린이 여성 의료기관 접종자 수,2023-2024절기 65세 이상 남성 보건소 접종자 수,2023-2024절기 65세 이상 여성 보건소 접종자 수,2023-2024절기 어린이 남성 의료기관 접종자 수,2023-2024절기 어린이 여성 의료기관 접종자 수,2015-2016절기 65세 이상 남성 의료기관 접종자 수,2015-2016절기 65세 이상 여성 의료기관 접종자 수,2016-2017절기 65세 이상 남성 의료기관 접종자 수,2016-2017절기 65세 이상 여성 의료기관 접종자 수,2017-2018절기 65세 이상 남성 의료기관 접종자 수,2017-2018절기 65세 이상 여성 의료기관 접종자 수,2018-2019절기 65세 이상 남성 의료기관 접종자 수,2018-2019절기 65세 이상 여성 의료기관 접종자 수,2019-2020절기 65세 이상 남성 의료기관 접종자 수,2019-2020절기 65세 이상 여성 의료기관 접종자 수,2020-2021절기 65세 이상 남성 의료기관 접종자 수,2020-2021절기 65세 이상 여성 의료기관 접종자 수,2021-2022절기 65세 이상 남성 의료기관 접종자 수,2021-2022절기 65세 이상 여성 의료기관 접종자 수,2022-2023절기 65세 이상 남성 의료기관 접종자 수,2022-2023절기 65세 이상 여성 의료기관 접종자 수,2023-2024절기 65세 이상 남성 의료기관 접종자 수,2023-2024절기 65세 이상 여성 의료기관 접종자 수</t>
    <phoneticPr fontId="5" type="noConversion"/>
  </si>
  <si>
    <t>string,string,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int,float,int,float,int,float,
int,int,int,int,int,
int,int,int,int,int,
int,int,int,int,int,int,int,int,int,int,int,int,int,int,int,int,
int,int,int,int,int,int,int,int,int,int,int,int,int,int,int,int,
int,int,int,int,int,int,int,int,int,int,int,int,int,int,int,int,
int,int,int,int,int,int,int,int,int,int,int,int,int,int,int,int,
int,int,int,int,int,int,int,int,int,int,int,int,int,int,int,int</t>
    <phoneticPr fontId="5" type="noConversion"/>
  </si>
  <si>
    <t>ds_0601</t>
    <phoneticPr fontId="5" type="noConversion"/>
  </si>
  <si>
    <t>ds_0701</t>
    <phoneticPr fontId="5" type="noConversion"/>
  </si>
  <si>
    <t>감기 관련 검색 또는 언급 빈도를 나타내는 지표,기침 증상과 관련된 검색 또는 언급 빈도를 나타내는 지표,독감과 관련된 검색 또는 언급 빈도를 나타내는 지표,몸살 증상과 관련된 검색 또는 언급 빈도를 나타내는 지표,콧물 증상과 관련된 검색 또는 언급 빈도를 나타내는 지표,데이터가 수집된 기준 시각 또는 날짜,감기약과 관련된 검색 또는 언급 빈도를 나타내는 지표,A형 독감과 관련된 검색 또는 언급 빈도를 나타내는 지표,항바이러스제 타미플루와 관련된 검색 또는 언급 빈도를 나타내는 지표,감기 증상 전반에 대한 검색 또는 언급 빈도를 나타내는 지표,독감 검사와 관련된 검색 또는 언급 빈도를 나타내는 지표,독감 증상 전반에 대한 검색 또는 언급 빈도를 나타내는 지표,목 통증 증상과 관련된 검색 또는 언급 빈도를 나타내는 지표,독감 예방접종과 관련된 검색 또는 언급 빈도를 나타내는 지표</t>
    <phoneticPr fontId="5" type="noConversion"/>
  </si>
  <si>
    <t>int,int,int,int,int,string,int,int,int,int,int,int,int,int</t>
    <phoneticPr fontId="5" type="noConversion"/>
  </si>
  <si>
    <t>감기와 관련된 검색 또는 언급 빈도를 나타내는 지표,기침 증상과 관련된 검색 또는 언급 빈도를 나타내는 지표,독감과 관련된 검색 또는 언급 빈도를 나타내는 지표,몸살 증상과 관련된 검색 또는 언급 빈도를 나타내는 지표,콧물 증상과 관련된 검색 또는 언급 빈도를 나타내는 지표,데이터가 수집된 기준 시각 또는 날짜,감기약과 관련된 검색 또는 언급 빈도를 나타내는 지표,A형 독감과 관련된 검색 또는 언급 빈도를 나타내는 지표,항바이러스제 타미플루와 관련된 검색 또는 언급 빈도를 나타내는 지표,감기 증상 전반에 대한 검색 또는 언급 빈도를 나타내는 지표,독감 검사와 관련된 검색 또는 언급 빈도를 나타내는 지표,독감 증상 전반에 대한 검색 또는 언급 빈도를 나타내는 지표,목 통증 증상과 관련된 검색 또는 언급 빈도를 나타내는 지표,독감 예방접종과 관련된 검색 또는 언급 빈도를 나타내는 지표</t>
    <phoneticPr fontId="5" type="noConversion"/>
  </si>
  <si>
    <t>ds_0901</t>
    <phoneticPr fontId="5" type="noConversion"/>
  </si>
  <si>
    <t>업로드 횟수</t>
    <phoneticPr fontId="5" type="noConversion"/>
  </si>
  <si>
    <t>날짜</t>
    <phoneticPr fontId="5" type="noConversion"/>
  </si>
  <si>
    <t>키워드</t>
    <phoneticPr fontId="5" type="noConversion"/>
  </si>
  <si>
    <t>약사계,조산사,﻿시도,물리치료사,사회복지사,의사 / 인턴,작업치료사,의사 / 의사계,의사 / 일반의,의사 / 전문의,의사 / 레지던트,한의사 / 한의사계,치과의사 / 치과인턴,치과의사 / 치과의사계,치과의사 / 치과일반의,치과의사 / 치과전문의,한의사 / 한의사일반의,한의사 / 한의사전문의,치과의사 / 치과레지턴트,한의사 / 한의사일반수련의,한의사 / 한의사전문수련의,인력코드상위 / 요양기관종별</t>
    <phoneticPr fontId="5" type="noConversion"/>
  </si>
  <si>
    <t>hv2,hv3,hv5,hv6,hv7,hv9,hpid,hv10,hv11,hv13,hv14,hv15,hv16,hv17,hv18,hv19,hv21,hv22,hv23,hv24,hv25,hv26,hv27,hv28,hv29,hv30,hv31,hv32,hv33,hv34,hv35,hv36,hv37,hv38,hv39,hv40,hv41,hv42,hv43,hv60,hv61,hvcc,hvec,hvgc,hvoc,rnum,hvccc,hvicc,hvncc,hvs01,hvs02,hvs03,hvs04,hvs05,hvs06,hvs07,hvs08,hvs09,hvs10,hvs11,hvs12,hvs14,hvs15,hvs16,hvs17,hvs18,hvs19,hvs20,hvs21,hvs22,hvs23,hvs24,hvs25,hvs26,hvs27,hvs28,hvs29,hvs30,hvs31,hvs32,hvs33,hvs34,hvs35,hvs36,hvs37,hvs38,hvs46,hvs47,hvs48,hvs49,hvs50,hvs51,hvs52,hvs53,hvs54,hvs55,hvs56,hvs57,hvs58,hvs59,hvs60,hvs61,phpid,hvamyn,hvctayn,hvidate,dutyTel3,hvmriayn,hvoxyayn,hvcrrtayn,hvecmoayn,hvhypoayn,hvincuayn,hvangioayn,hvventiayn,﻿dutyName,hvventisoayn</t>
    <phoneticPr fontId="5" type="noConversion"/>
  </si>
  <si>
    <t>coFlag,o3Flag,coGrade,coValue,no2Flag,o3Grade,o3Value,so2Flag,dataTime,no2Grade,no2Value,pm10Flag,sidoName,so2Value,khaiGrade,khaiValue,pm10Grade,pm10Value,stationName,﻿so2Grade</t>
    <phoneticPr fontId="5" type="noConversion"/>
  </si>
  <si>
    <t>seq,locdate,dateName,isHoliday,﻿dateKind</t>
    <phoneticPr fontId="5" type="noConversion"/>
  </si>
  <si>
    <t>hm,pa,ps,pv,rn,ss,ta,td,ts,vs,wd,ws,dsnw,icsr,rnum,lcsCh,m01Te,m02Te,m03Te,stnId,stnNm,﻿tm,m005Te,dc10Tca,hmQcflg,hr3Fhsc,paQcflg,psQcflg,rnQcflg,ssQcflg,taQcflg,tsQcflg,wdQcflg,wsQcflg,gndSttCd,clfmAbbrCd,dc10LmcsCa,dmstMtphNo</t>
    <phoneticPr fontId="5" type="noConversion"/>
  </si>
  <si>
    <t>diagYm,sgguCd,recuClCd,sgguCdNm,sidoCdNm,insupTpCd,totUseQty,msupUseAmt,atcStep3CdNm,﻿atcStep3Cd</t>
    <phoneticPr fontId="5" type="noConversion"/>
  </si>
  <si>
    <t>시군구명,﻿시도명,2016-2017절기 어린이 남성 인구수,2016-2017절기 어린이 남성 접종률,2016-2017절기 어린이 여성 인구수,2016-2017절기 어린이 여성 접종률,2016-2017절기 어린이 전체 인구수,2016-2017절기 어린이 전체 접종률,2017-2018절기 어린이 남성 인구수,2017-2018절기 어린이 남성 접종률,2017-2018절기 어린이 여성 인구수,2017-2018절기 어린이 여성 접종률,2017-2018절기 어린이 전체 인구수,2017-2018절기 어린이 전체 접종률,2018-2019절기 어린이 남성 인구수,2018-2019절기 어린이 남성 접종률,2018-2019절기 어린이 여성 인구수,2018-2019절기 어린이 여성 접종률,2018-2019절기 어린이 전체 인구수,2018-2019절기 어린이 전체 접종률,2019-2020절기 어린이 남성 인구수,2019-2020절기 어린이 남성 접종률,2019-2020절기 어린이 여성 인구수,2019-2020절기 어린이 여성 접종률,2019-2020절기 어린이 전체 인구수,2019-2020절기 어린이 전체 접종률,2020-2021절기 어린이 남성 인구수,2020-2021절기 어린이 남성 접종률,2020-2021절기 어린이 여성 인구수,2020-2021절기 어린이 여성 접종률,2020-2021절기 어린이 전체 인구수,2020-2021절기 어린이 전체 접종률,2021-2022절기 어린이 남성 인구수,2021-2022절기 어린이 남성 접종률,2021-2022절기 어린이 여성 인구수,2021-2022절기 어린이 여성 접종률,2021-2022절기 어린이 전체 인구수,2021-2022절기 어린이 전체 접종률,2022-2023절기 어린이 남성 인구수,2022-2023절기 어린이 남성 접종률,2022-2023절기 어린이 여성 인구수,2022-2023절기 어린이 여성 접종률,2022-2023절기 어린이 전체 인구수,2022-2023절기 어린이 전체 접종률,2023-2024절기 어린이 남성 인구수,2023-2024절기 어린이 남성 접종률,2023-2024절기 어린이 여성 인구수,2023-2024절기 어린이 여성 접종률,2023-2024절기 어린이 전체 인구수,2023-2024절기 어린이 전체 접종률,2015-2016절기 65세 이상 남성 인구수,2015-2016절기 65세 이상 남성 접종률,2015-2016절기 65세 이상 여성 인구수,2015-2016절기 65세 이상 여성 접종률,2015-2016절기 65세 이상 전체 인구수,2015-2016절기 65세 이상 전체 접종률,2016-2017절기 65세 이상 남성 인구수,2016-2017절기 65세 이상 남성 접종률,2016-2017절기 65세 이상 여성 인구수,2016-2017절기 65세 이상 여성 접종률,2016-2017절기 65세 이상 전체 인구수,2016-2017절기 65세 이상 전체 접종률,2017-2018절기 65세 이상 남성 인구수,2017-2018절기 65세 이상 남성 접종률,2017-2018절기 65세 이상 여성 인구수,2017-2018절기 65세 이상 여성 접종률,2017-2018절기 65세 이상 전체 인구수,2017-2018절기 65세 이상 전체 접종률,2018-2019절기 65세 이상 남성 인구수,2018-2019절기 65세 이상 남성 접종률,2018-2019절기 65세 이상 여성 인구수,2018-2019절기 65세 이상 여성 접종률,2018-2019절기 65세 이상 전체 인구수,2018-2019절기 65세 이상 전체 접종률,2019-2020절기 65세 이상 남성 인구수,2019-2020절기 65세 이상 남성 접종률,2019-2020절기 65세 이상 여성 인구수,2019-2020절기 65세 이상 여성 접종률,2019-2020절기 65세 이상 전체 인구수,2019-2020절기 65세 이상 전체 접종률,2020-2021절기 65세 이상 남성 인구수,2020-2021절기 65세 이상 남성 접종률,2020-2021절기 65세 이상 여성 인구수,2020-2021절기 65세 이상 여성 접종률,2020-2021절기 65세 이상 전체 인구수,2020-2021절기 65세 이상 전체 접종률,2021-2022절기 65세 이상 남성 인구수,2021-2022절기 65세 이상 남성 접종률,2021-2022절기 65세 이상 여성 인구수,2021-2022절기 65세 이상 여성 접종률,2021-2022절기 65세 이상 전체 인구수,2021-2022절기 65세 이상 전체 접종률,2022-2023절기 65세 이상 남성 인구수,2022-2023절기 65세 이상 남성 접종률,2022-2023절기 65세 이상 여성 인구수,2022-2023절기 65세 이상 여성 접종률,2022-2023절기 65세 이상 전체 인구수,2022-2023절기 65세 이상 전체 접종률,2023-2024절기 65세 이상 남성 인구수,2023-2024절기 65세 이상 남성 접종률,2023-2024절기 65세 이상 여성 인구수,2023-2024절기 65세 이상 여성 접종률,2023-2024절기 65세 이상 전체 인구수,2023-2024절기 65세 이상 전체 접종률,2019-2020절기 임신부 보건소 접종자수,2020-2021절기 임신부 보건소 접종자수,2021-2022절기 임신부 보건소 접종자수,2022-2023절기 임신부 보건소 접종자수,2023-2024절기 임신부 보건소 접종자수,2019-2020절기 임신부 의료기관 접종자수,2020-2021절기 임신부 의료기관 접종자수,2021-2022절기 임신부 의료기관 접종자수,2022-2023절기 임신부 의료기관 접종자수,2023-2024절기 임신부 의료기관 접종자수,2016-2017절기 어린이 남성 보건소 접종자수,2016-2017절기 어린이 여성 보건소 접종자수,2017-2018절기 어린이 남성 보건소 접종자수,2017-2018절기 어린이 여성 보건소 접종자수,2018-2019절기 어린이 남성 보건소 접종자수,2018-2019절기 어린이 여성 보건소 접종자수,2019-2020절기 어린이 남성 보건소 접종자수,2019-2020절기 어린이 여성 보건소 접종자수,2020-2021절기 어린이 남성 보건소 접종자수,2020-2021절기 어린이 여성 보건소 접종자수,2021-2022절기 어린이 남성 보건소 접종자수,2021-2022절기 어린이 여성 보건소 접종자수,2022-2023절기 어린이 남성 보건소 접종자수,2022-2023절기 어린이 여성 보건소 접종자수,2023-2024절기 어린이 남성 보건소 접종자수,2023-2024절기 어린이 여성 보건소 접종자수,2015-2016절기 65세 이상 남성 보건소 접종자수,2015-2016절기 65세 이상 여성 보건소 접종자수,2016-2017절기 65세 이상 남성 보건소 접종자수,2016-2017절기 65세 이상 여성 보건소 접종자수,2016-2017절기 어린이 남성 의료기관 접종자수,2016-2017절기 어린이 여성 의료기관 접종자수,2017-2018절기 65세 이상 남성 보건소 접종자수,2017-2018절기 65세 이상 여성 보건소 접종자수,2017-2018절기 어린이 남성 의료기관 접종자수,2017-2018절기 어린이 여성 의료기관 접종자수,2018-2019절기 65세 이상 남성 보건소 접종자수,2018-2019절기 65세 이상 여성 보건소 접종자수,2018-2019절기 어린이 남성 의료기관 접종자수,2018-2019절기 어린이 여성 의료기관 접종자수,2019-2020절기 65세 이상 남성 보건소 접종자수,2019-2020절기 65세 이상 여성 보건소 접종자수,2019-2020절기 어린이 남성 의료기관 접종자수,2019-2020절기 어린이 여성 의료기관 접종자수,2020-2021절기 65세 이상 남성 보건소 접종자수,2020-2021절기 65세 이상 여성 보건소 접종자수,2020-2021절기 어린이 남성 의료기관 접종자수,2020-2021절기 어린이 여성 의료기관 접종자수,2021-2022절기 65세 이상 남성 보건소 접종자수,2021-2022절기 65세 이상 여성 보건소 접종자수,2021-2022절기 어린이 남성 의료기관 접종자수,2021-2022절기 어린이 여성 의료기관 접종자수,2022-2023절기 65세 이상 남성 보건소 접종자수,2022-2023절기 65세 이상 여성 보건소 접종자수,2022-2023절기 어린이 남성 의료기관 접종자수,2022-2023절기 어린이 여성 의료기관 접종자수,2023-2024절기 65세 이상 남성 보건소 접종자수,2023-2024절기 65세 이상 여성 보건소 접종자수,2023-2024절기 어린이 남성 의료기관 접종자수,2023-2024절기 어린이 여성 의료기관 접종자수,2015-2016절기 65세 이상 남성 의료기관 접종자수,2015-2016절기 65세 이상 여성 의료기관 접종자수,2016-2017절기 65세 이상 남성 의료기관 접종자수,2016-2017절기 65세 이상 여성 의료기관 접종자수,2017-2018절기 65세 이상 남성 의료기관 접종자수,2017-2018절기 65세 이상 여성 의료기관 접종자수,2018-2019절기 65세 이상 남성 의료기관 접종자수,2018-2019절기 65세 이상 여성 의료기관 접종자수,2019-2020절기 65세 이상 남성 의료기관 접종자수,2019-2020절기 65세 이상 여성 의료기관 접종자수,2020-2021절기 65세 이상 남성 의료기관 접종자수,2020-2021절기 65세 이상 여성 의료기관 접종자수,2021-2022절기 65세 이상 남성 의료기관 접종자수,2021-2022절기 65세 이상 여성 의료기관 접종자수,2022-2023절기 65세 이상 남성 의료기관 접종자수,2022-2023절기 65세 이상 여성 의료기관 접종자수,2023-2024절기 65세 이상 남성 의료기관 접종자수,2023-2024절기 65세 이상 여성 의료기관 접종자수</t>
    <phoneticPr fontId="5" type="noConversion"/>
  </si>
  <si>
    <t>주차,﻿연도,유행기준,유행단계,인플루엔자 의사환자 분율</t>
    <phoneticPr fontId="5" type="noConversion"/>
  </si>
  <si>
    <t>주차,연령대,﻿연도,입원환자 수</t>
    <phoneticPr fontId="5" type="noConversion"/>
  </si>
  <si>
    <t>아형,주차,﻿연도,인플루엔자 검출률</t>
    <phoneticPr fontId="5" type="noConversion"/>
  </si>
  <si>
    <t>주차,연령대,﻿연도,인플루엔자 검출률</t>
    <phoneticPr fontId="5" type="noConversion"/>
  </si>
  <si>
    <t>주차,연령대,﻿연도,인플루엔자 검출률,응급실 인플루엔자 환자</t>
    <phoneticPr fontId="5" type="noConversion"/>
  </si>
  <si>
    <t>주차,연령대,﻿연도,응급실 인플루엔자 환자</t>
    <phoneticPr fontId="5" type="noConversion"/>
  </si>
  <si>
    <t>감기,기침,독감,몸살,콧물,﻿time,감기약,A형 독감,타미플루,감기 증상,독감 검사,독감 증상,목 아플 때,독감 예방접종</t>
    <phoneticPr fontId="5" type="noConversion"/>
  </si>
  <si>
    <t>count,﻿day,keyword</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</si>
</sst>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맑은 고딕"/>
      <family val="2"/>
      <scheme val="minor"/>
    </font>
    <font>
      <sz val="12"/>
      <color theme="1"/>
      <name val="맑은 고딕"/>
      <family val="2"/>
      <charset val="129"/>
      <scheme val="minor"/>
    </font>
    <font>
      <sz val="11"/>
      <color theme="1"/>
      <name val="맑은 고딕"/>
      <family val="2"/>
      <scheme val="minor"/>
    </font>
    <font>
      <sz val="12"/>
      <color rgb="FFFF0000"/>
      <name val="맑은 고딕"/>
      <family val="2"/>
      <charset val="129"/>
      <scheme val="minor"/>
    </font>
    <font>
      <i/>
      <sz val="12"/>
      <color rgb="FF7F7F7F"/>
      <name val="맑은 고딕"/>
      <family val="2"/>
      <charset val="129"/>
      <scheme val="minor"/>
    </font>
    <font>
      <sz val="8"/>
      <name val="맑은 고딕"/>
      <family val="3"/>
      <charset val="129"/>
      <scheme val="minor"/>
    </font>
    <font>
      <sz val="12"/>
      <color rgb="FFD4D4D4"/>
      <name val="Menlo"/>
      <family val="2"/>
    </font>
    <font>
      <sz val="12"/>
      <color rgb="FF569CD6"/>
      <name val="Menlo"/>
      <family val="2"/>
    </font>
    <font>
      <sz val="12"/>
      <color rgb="FFDCDCAA"/>
      <name val="Menlo"/>
      <family val="2"/>
    </font>
    <font>
      <sz val="12"/>
      <color rgb="FF6A9955"/>
      <name val="Menlo"/>
      <family val="2"/>
    </font>
    <font>
      <sz val="12"/>
      <color rgb="FFCE9178"/>
      <name val="Menlo"/>
      <family val="2"/>
    </font>
    <font>
      <sz val="12"/>
      <color rgb="FF9CDCFE"/>
      <name val="Menlo"/>
      <family val="2"/>
    </font>
    <font>
      <sz val="12"/>
      <color rgb="FFB5CEA8"/>
      <name val="Menlo"/>
      <family val="2"/>
    </font>
    <font>
      <sz val="12"/>
      <color rgb="FF4EC9B0"/>
      <name val="Menlo"/>
      <family val="2"/>
    </font>
    <font>
      <b/>
      <sz val="12"/>
      <color rgb="FF569CD6"/>
      <name val="Menlo"/>
      <family val="2"/>
    </font>
    <font>
      <sz val="12"/>
      <color rgb="FFF44747"/>
      <name val="Menlo"/>
      <family val="2"/>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s>
  <fills count="10">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3" fillId="0" borderId="0" applyNumberFormat="0" applyFill="0" applyBorder="0" applyAlignment="0" applyProtection="0">
      <alignment vertical="center"/>
    </xf>
    <xf numFmtId="0" fontId="2" fillId="2" borderId="1" applyNumberFormat="0" applyFont="0" applyAlignment="0" applyProtection="0">
      <alignment vertical="center"/>
    </xf>
    <xf numFmtId="0" fontId="4" fillId="0" borderId="0" applyNumberFormat="0" applyFill="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cellStyleXfs>
  <cellXfs count="14">
    <xf numFmtId="0" fontId="0" fillId="0" borderId="0" xfId="0"/>
    <xf numFmtId="0" fontId="6" fillId="0" borderId="0" xfId="0" applyFont="1"/>
    <xf numFmtId="0" fontId="1" fillId="4" borderId="0" xfId="5" applyAlignment="1"/>
    <xf numFmtId="0" fontId="1" fillId="3" borderId="0" xfId="4" applyAlignment="1"/>
    <xf numFmtId="0" fontId="1" fillId="3" borderId="0" xfId="4" applyAlignment="1">
      <alignment horizontal="left"/>
    </xf>
    <xf numFmtId="0" fontId="1" fillId="6" borderId="0" xfId="7" applyAlignment="1"/>
    <xf numFmtId="0" fontId="1" fillId="5" borderId="0" xfId="6" applyAlignment="1"/>
    <xf numFmtId="0" fontId="3" fillId="0" borderId="0" xfId="1" applyAlignment="1"/>
    <xf numFmtId="0" fontId="0" fillId="0" borderId="0" xfId="0" applyAlignment="1">
      <alignment wrapText="1"/>
    </xf>
    <xf numFmtId="0" fontId="4" fillId="0" borderId="0" xfId="3" applyAlignment="1"/>
    <xf numFmtId="0" fontId="0" fillId="2" borderId="1" xfId="2" applyFont="1" applyAlignment="1"/>
    <xf numFmtId="0" fontId="18" fillId="9" borderId="2" xfId="10" applyBorder="1" applyAlignment="1"/>
    <xf numFmtId="0" fontId="16" fillId="7" borderId="2" xfId="8" applyBorder="1" applyAlignment="1"/>
    <xf numFmtId="0" fontId="17" fillId="8" borderId="2" xfId="9" applyBorder="1" applyAlignment="1"/>
  </cellXfs>
  <cellStyles count="11">
    <cellStyle name="20% - 강조색1" xfId="4" builtinId="30"/>
    <cellStyle name="20% - 강조색3" xfId="6" builtinId="38"/>
    <cellStyle name="40% - 강조색1" xfId="5" builtinId="31"/>
    <cellStyle name="40% - 강조색3" xfId="7" builtinId="39"/>
    <cellStyle name="경고문" xfId="1" builtinId="11"/>
    <cellStyle name="나쁨" xfId="9" builtinId="27"/>
    <cellStyle name="메모" xfId="2" builtinId="10"/>
    <cellStyle name="보통" xfId="10" builtinId="28"/>
    <cellStyle name="설명 텍스트" xfId="3" builtinId="53"/>
    <cellStyle name="좋음" xfId="8" builtinId="26"/>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zoomScale="107" zoomScaleNormal="107" workbookViewId="0">
      <selection activeCell="D39" sqref="D39"/>
    </sheetView>
  </sheetViews>
  <sheetFormatPr baseColWidth="10" defaultColWidth="8.83203125" defaultRowHeight="17"/>
  <cols>
    <col min="2" max="2" width="52.83203125" bestFit="1" customWidth="1"/>
    <col min="3" max="3" width="18.1640625" bestFit="1" customWidth="1"/>
    <col min="4" max="4" width="58.5" bestFit="1" customWidth="1"/>
  </cols>
  <sheetData>
    <row r="1" spans="1:4">
      <c r="A1" t="s">
        <v>0</v>
      </c>
      <c r="B1" t="s">
        <v>1</v>
      </c>
      <c r="C1" t="s">
        <v>2</v>
      </c>
      <c r="D1" t="s">
        <v>34</v>
      </c>
    </row>
    <row r="2" spans="1:4" ht="18">
      <c r="A2" s="12" t="s">
        <v>3</v>
      </c>
      <c r="B2" s="12" t="s">
        <v>4</v>
      </c>
      <c r="C2" s="12">
        <v>63</v>
      </c>
      <c r="D2" s="12" t="s">
        <v>33</v>
      </c>
    </row>
    <row r="3" spans="1:4" ht="18">
      <c r="A3" s="12" t="s">
        <v>44</v>
      </c>
      <c r="B3" s="12" t="s">
        <v>5</v>
      </c>
      <c r="C3" s="12">
        <v>14</v>
      </c>
      <c r="D3" s="12" t="s">
        <v>110</v>
      </c>
    </row>
    <row r="4" spans="1:4" ht="18">
      <c r="A4" s="12" t="s">
        <v>46</v>
      </c>
      <c r="B4" s="12" t="s">
        <v>6</v>
      </c>
      <c r="C4" s="12">
        <v>16</v>
      </c>
      <c r="D4" s="12" t="s">
        <v>111</v>
      </c>
    </row>
    <row r="5" spans="1:4" ht="18">
      <c r="A5" s="12" t="s">
        <v>54</v>
      </c>
      <c r="B5" s="12" t="s">
        <v>7</v>
      </c>
      <c r="C5" s="12">
        <v>15</v>
      </c>
      <c r="D5" s="12" t="s">
        <v>111</v>
      </c>
    </row>
    <row r="6" spans="1:4" ht="18">
      <c r="A6" s="12" t="s">
        <v>61</v>
      </c>
      <c r="B6" s="12" t="s">
        <v>8</v>
      </c>
      <c r="C6" s="12">
        <v>16</v>
      </c>
      <c r="D6" s="12" t="s">
        <v>112</v>
      </c>
    </row>
    <row r="7" spans="1:4" ht="18">
      <c r="A7" s="12" t="s">
        <v>62</v>
      </c>
      <c r="B7" s="12" t="s">
        <v>9</v>
      </c>
      <c r="C7" s="12">
        <v>16</v>
      </c>
      <c r="D7" s="12" t="s">
        <v>113</v>
      </c>
    </row>
    <row r="8" spans="1:4" ht="18">
      <c r="A8" s="12" t="s">
        <v>63</v>
      </c>
      <c r="B8" s="12" t="s">
        <v>10</v>
      </c>
      <c r="C8" s="12">
        <v>15</v>
      </c>
      <c r="D8" s="12" t="s">
        <v>112</v>
      </c>
    </row>
    <row r="9" spans="1:4" ht="18">
      <c r="A9" s="12" t="s">
        <v>64</v>
      </c>
      <c r="B9" s="12" t="s">
        <v>11</v>
      </c>
      <c r="C9" s="12">
        <v>18</v>
      </c>
      <c r="D9" s="12" t="s">
        <v>114</v>
      </c>
    </row>
    <row r="10" spans="1:4" ht="18">
      <c r="A10" s="12" t="s">
        <v>66</v>
      </c>
      <c r="B10" s="12" t="s">
        <v>12</v>
      </c>
      <c r="C10" s="12">
        <v>14</v>
      </c>
      <c r="D10" s="12" t="s">
        <v>115</v>
      </c>
    </row>
    <row r="11" spans="1:4" ht="18">
      <c r="A11" s="12" t="s">
        <v>67</v>
      </c>
      <c r="B11" s="12" t="s">
        <v>13</v>
      </c>
      <c r="C11" s="12">
        <v>10</v>
      </c>
      <c r="D11" s="12" t="s">
        <v>37</v>
      </c>
    </row>
    <row r="12" spans="1:4" ht="18">
      <c r="A12" s="12" t="s">
        <v>68</v>
      </c>
      <c r="B12" s="12" t="s">
        <v>14</v>
      </c>
      <c r="C12" s="12">
        <v>9</v>
      </c>
      <c r="D12" s="12" t="s">
        <v>37</v>
      </c>
    </row>
    <row r="13" spans="1:4" ht="18">
      <c r="A13" s="11" t="s">
        <v>69</v>
      </c>
      <c r="B13" s="11" t="s">
        <v>15</v>
      </c>
      <c r="C13" s="11">
        <v>779</v>
      </c>
      <c r="D13" s="11" t="s">
        <v>103</v>
      </c>
    </row>
    <row r="14" spans="1:4" ht="18">
      <c r="A14" s="11" t="s">
        <v>71</v>
      </c>
      <c r="B14" s="11" t="s">
        <v>16</v>
      </c>
      <c r="C14" s="11">
        <v>822</v>
      </c>
      <c r="D14" s="11" t="s">
        <v>38</v>
      </c>
    </row>
    <row r="15" spans="1:4" ht="18">
      <c r="A15" s="11" t="s">
        <v>72</v>
      </c>
      <c r="B15" s="11" t="s">
        <v>17</v>
      </c>
      <c r="C15" s="11">
        <v>1588</v>
      </c>
      <c r="D15" s="11"/>
    </row>
    <row r="16" spans="1:4" ht="18">
      <c r="A16" s="11" t="s">
        <v>76</v>
      </c>
      <c r="B16" s="11" t="s">
        <v>18</v>
      </c>
      <c r="C16" s="11">
        <v>3</v>
      </c>
      <c r="D16" s="11" t="s">
        <v>36</v>
      </c>
    </row>
    <row r="17" spans="1:4" ht="18">
      <c r="A17" s="11" t="s">
        <v>77</v>
      </c>
      <c r="B17" s="11" t="s">
        <v>19</v>
      </c>
      <c r="C17" s="11">
        <v>7472</v>
      </c>
      <c r="D17" s="11" t="s">
        <v>104</v>
      </c>
    </row>
    <row r="18" spans="1:4" ht="18">
      <c r="A18" s="13" t="s">
        <v>82</v>
      </c>
      <c r="B18" s="13" t="s">
        <v>20</v>
      </c>
      <c r="C18" s="13">
        <v>4</v>
      </c>
      <c r="D18" s="13"/>
    </row>
    <row r="19" spans="1:4" ht="18">
      <c r="A19" s="11" t="s">
        <v>21</v>
      </c>
      <c r="B19" s="11" t="s">
        <v>22</v>
      </c>
      <c r="C19" s="11">
        <v>2322</v>
      </c>
      <c r="D19" s="11" t="s">
        <v>105</v>
      </c>
    </row>
    <row r="20" spans="1:4" ht="18">
      <c r="A20" s="11" t="s">
        <v>84</v>
      </c>
      <c r="B20" s="11" t="s">
        <v>23</v>
      </c>
      <c r="C20" s="11">
        <v>13</v>
      </c>
      <c r="D20" s="11" t="s">
        <v>106</v>
      </c>
    </row>
    <row r="21" spans="1:4" ht="18">
      <c r="A21" s="12" t="s">
        <v>86</v>
      </c>
      <c r="B21" s="12" t="s">
        <v>24</v>
      </c>
      <c r="C21" s="12">
        <v>105</v>
      </c>
      <c r="D21" s="12" t="s">
        <v>107</v>
      </c>
    </row>
    <row r="22" spans="1:4" ht="18">
      <c r="A22" s="12" t="s">
        <v>25</v>
      </c>
      <c r="B22" s="12" t="s">
        <v>26</v>
      </c>
      <c r="C22" s="12">
        <v>5</v>
      </c>
      <c r="D22" s="12" t="s">
        <v>108</v>
      </c>
    </row>
    <row r="23" spans="1:4" ht="18">
      <c r="A23" s="12" t="s">
        <v>91</v>
      </c>
      <c r="B23" s="12" t="s">
        <v>27</v>
      </c>
      <c r="C23" s="12">
        <v>1608</v>
      </c>
      <c r="D23" s="12" t="s">
        <v>109</v>
      </c>
    </row>
    <row r="24" spans="1:4" ht="18">
      <c r="A24" s="13" t="s">
        <v>94</v>
      </c>
      <c r="B24" s="13" t="s">
        <v>28</v>
      </c>
      <c r="C24" s="13">
        <v>0</v>
      </c>
      <c r="D24" s="13"/>
    </row>
    <row r="25" spans="1:4" ht="18">
      <c r="A25" s="12" t="s">
        <v>95</v>
      </c>
      <c r="B25" s="12" t="s">
        <v>29</v>
      </c>
      <c r="C25" s="12">
        <v>114</v>
      </c>
      <c r="D25" s="12" t="s">
        <v>116</v>
      </c>
    </row>
    <row r="26" spans="1:4" ht="18">
      <c r="A26" s="12" t="s">
        <v>30</v>
      </c>
      <c r="B26" s="12" t="s">
        <v>31</v>
      </c>
      <c r="C26" s="12">
        <v>118</v>
      </c>
      <c r="D26" s="12" t="s">
        <v>116</v>
      </c>
    </row>
    <row r="27" spans="1:4" ht="18">
      <c r="A27" s="12" t="s">
        <v>99</v>
      </c>
      <c r="B27" s="12" t="s">
        <v>32</v>
      </c>
      <c r="C27" s="12">
        <v>309</v>
      </c>
      <c r="D27" s="12" t="s">
        <v>117</v>
      </c>
    </row>
    <row r="34" spans="2:2" ht="18">
      <c r="B34" s="7" t="s">
        <v>45</v>
      </c>
    </row>
  </sheetData>
  <phoneticPr fontId="5"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C950E-E2F9-264A-986F-C46B9860F4C2}">
  <dimension ref="B3:C19"/>
  <sheetViews>
    <sheetView zoomScale="150" workbookViewId="0">
      <selection activeCell="C28" sqref="C28"/>
    </sheetView>
  </sheetViews>
  <sheetFormatPr baseColWidth="10" defaultRowHeight="17"/>
  <cols>
    <col min="2" max="2" width="13.83203125" bestFit="1" customWidth="1"/>
    <col min="3" max="3" width="63.6640625" bestFit="1" customWidth="1"/>
  </cols>
  <sheetData>
    <row r="3" spans="2:3" ht="18">
      <c r="B3" s="2" t="s">
        <v>39</v>
      </c>
      <c r="C3" s="3" t="str">
        <f>'Dataset Summary'!A2</f>
        <v>ds_0101</v>
      </c>
    </row>
    <row r="4" spans="2:3" ht="18">
      <c r="B4" s="2" t="s">
        <v>40</v>
      </c>
      <c r="C4" s="3" t="str">
        <f>'Dataset Summary'!B2</f>
        <v>인플루엔자 의사환자 비율</v>
      </c>
    </row>
    <row r="5" spans="2:3" ht="18">
      <c r="B5" s="2" t="s">
        <v>41</v>
      </c>
      <c r="C5" s="4">
        <f>'Dataset Summary'!C2</f>
        <v>63</v>
      </c>
    </row>
    <row r="6" spans="2:3" ht="18">
      <c r="B6" s="2" t="s">
        <v>34</v>
      </c>
      <c r="C6" s="3" t="str">
        <f>'Dataset Summary'!D2</f>
        <v>0세,1-6세,7-12세,13-18세,19-49세,50-64세,65세 이상,연도,주차</v>
      </c>
    </row>
    <row r="11" spans="2:3" ht="18">
      <c r="B11" s="5" t="str" cm="1">
        <f t="array" ref="B11:B19">TRANSPOSE(_xlfn.TEXTSPLIT(C6, ","))</f>
        <v>0세</v>
      </c>
      <c r="C11" s="6" t="s">
        <v>43</v>
      </c>
    </row>
    <row r="12" spans="2:3" ht="18">
      <c r="B12" s="5" t="str">
        <v>1-6세</v>
      </c>
      <c r="C12" s="6" t="s">
        <v>43</v>
      </c>
    </row>
    <row r="13" spans="2:3" ht="18">
      <c r="B13" s="5" t="str">
        <v>7-12세</v>
      </c>
      <c r="C13" s="6" t="s">
        <v>43</v>
      </c>
    </row>
    <row r="14" spans="2:3" ht="18">
      <c r="B14" s="5" t="str">
        <v>13-18세</v>
      </c>
      <c r="C14" s="6" t="s">
        <v>43</v>
      </c>
    </row>
    <row r="15" spans="2:3" ht="18">
      <c r="B15" s="5" t="str">
        <v>19-49세</v>
      </c>
      <c r="C15" s="6" t="s">
        <v>43</v>
      </c>
    </row>
    <row r="16" spans="2:3" ht="18">
      <c r="B16" s="5" t="str">
        <v>50-64세</v>
      </c>
      <c r="C16" s="6" t="s">
        <v>43</v>
      </c>
    </row>
    <row r="17" spans="2:3" ht="18">
      <c r="B17" s="5" t="str">
        <v>65세 이상</v>
      </c>
      <c r="C17" s="6" t="s">
        <v>43</v>
      </c>
    </row>
    <row r="18" spans="2:3" ht="18">
      <c r="B18" s="5" t="str">
        <v>연도</v>
      </c>
      <c r="C18" s="6" t="s">
        <v>42</v>
      </c>
    </row>
    <row r="19" spans="2:3" ht="18">
      <c r="B19" s="5" t="str">
        <v>주차</v>
      </c>
      <c r="C19" s="6" t="s">
        <v>43</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81EEE-0477-5941-92EB-DDFD523974E9}">
  <dimension ref="B3:C13"/>
  <sheetViews>
    <sheetView zoomScale="225" workbookViewId="0">
      <selection activeCell="C22" sqref="C22"/>
    </sheetView>
  </sheetViews>
  <sheetFormatPr baseColWidth="10" defaultRowHeight="17"/>
  <cols>
    <col min="2" max="2" width="24.83203125" bestFit="1" customWidth="1"/>
    <col min="3" max="3" width="63.6640625" bestFit="1" customWidth="1"/>
  </cols>
  <sheetData>
    <row r="3" spans="2:3" ht="18">
      <c r="B3" s="2" t="s">
        <v>39</v>
      </c>
      <c r="C3" s="3" t="str">
        <f>'Dataset Summary'!A3</f>
        <v>ds_0102</v>
      </c>
    </row>
    <row r="4" spans="2:3" ht="18">
      <c r="B4" s="2" t="s">
        <v>40</v>
      </c>
      <c r="C4" s="3" t="str">
        <f>'Dataset Summary'!B3</f>
        <v>인플루엔자 유행단계</v>
      </c>
    </row>
    <row r="5" spans="2:3" ht="18">
      <c r="B5" s="2" t="s">
        <v>41</v>
      </c>
      <c r="C5" s="4">
        <f>'Dataset Summary'!C3</f>
        <v>14</v>
      </c>
    </row>
    <row r="6" spans="2:3" ht="18">
      <c r="B6" s="2" t="s">
        <v>34</v>
      </c>
      <c r="C6" s="3" t="str">
        <f>'Dataset Summary'!D3</f>
        <v>주차,﻿연도,유행기준,유행단계,인플루엔자 의사환자 분율</v>
      </c>
    </row>
    <row r="9" spans="2:3" ht="18">
      <c r="B9" s="5" t="str" cm="1">
        <f t="array" ref="B9:B13">TRANSPOSE(_xlfn.TEXTSPLIT(C6, ","))</f>
        <v>주차</v>
      </c>
      <c r="C9" s="6" t="s">
        <v>43</v>
      </c>
    </row>
    <row r="10" spans="2:3" ht="18">
      <c r="B10" s="5" t="str">
        <v>﻿연도</v>
      </c>
      <c r="C10" s="6" t="s">
        <v>43</v>
      </c>
    </row>
    <row r="11" spans="2:3" ht="18">
      <c r="B11" s="5" t="str">
        <v>유행기준</v>
      </c>
      <c r="C11" s="6" t="s">
        <v>43</v>
      </c>
    </row>
    <row r="12" spans="2:3" ht="18">
      <c r="B12" s="5" t="str">
        <v>유행단계</v>
      </c>
      <c r="C12" s="6" t="s">
        <v>42</v>
      </c>
    </row>
    <row r="13" spans="2:3" ht="18">
      <c r="B13" s="5" t="str">
        <v>인플루엔자 의사환자 분율</v>
      </c>
      <c r="C13" s="6" t="s">
        <v>43</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D0CAC-D1F0-074D-BB82-5CA8CA87386A}">
  <dimension ref="B3:C24"/>
  <sheetViews>
    <sheetView workbookViewId="0">
      <selection activeCell="E51" sqref="E51"/>
    </sheetView>
  </sheetViews>
  <sheetFormatPr baseColWidth="10" defaultRowHeight="17"/>
  <cols>
    <col min="2" max="2" width="26.83203125" bestFit="1" customWidth="1"/>
    <col min="3" max="3" width="55.6640625" bestFit="1" customWidth="1"/>
  </cols>
  <sheetData>
    <row r="3" spans="2:3" ht="18">
      <c r="B3" s="2" t="s">
        <v>39</v>
      </c>
      <c r="C3" s="3" t="str">
        <f>'Dataset Summary'!A4</f>
        <v>ds_0103</v>
      </c>
    </row>
    <row r="4" spans="2:3" ht="18">
      <c r="B4" s="2" t="s">
        <v>40</v>
      </c>
      <c r="C4" s="3" t="str">
        <f>'Dataset Summary'!B4</f>
        <v>급성호흡기감염증 환자 중 인플루엔자 환자 수(ARI)</v>
      </c>
    </row>
    <row r="5" spans="2:3" ht="18">
      <c r="B5" s="2" t="s">
        <v>41</v>
      </c>
      <c r="C5" s="4">
        <f>'Dataset Summary'!C4</f>
        <v>16</v>
      </c>
    </row>
    <row r="6" spans="2:3" ht="18">
      <c r="B6" s="2" t="s">
        <v>34</v>
      </c>
      <c r="C6" s="3" t="str">
        <f>'Dataset Summary'!D4</f>
        <v>주차,연령대,﻿연도,입원환자 수</v>
      </c>
    </row>
    <row r="9" spans="2:3" ht="18">
      <c r="B9" s="5" t="str" cm="1">
        <f t="array" ref="B9:B12">TRANSPOSE(_xlfn.TEXTSPLIT(C6, ","))</f>
        <v>주차</v>
      </c>
      <c r="C9" s="6" t="s">
        <v>43</v>
      </c>
    </row>
    <row r="10" spans="2:3" ht="18">
      <c r="B10" s="5" t="str">
        <v>연령대</v>
      </c>
      <c r="C10" s="6" t="s">
        <v>42</v>
      </c>
    </row>
    <row r="11" spans="2:3" ht="18">
      <c r="B11" s="5" t="str">
        <v>﻿연도</v>
      </c>
      <c r="C11" s="6" t="s">
        <v>43</v>
      </c>
    </row>
    <row r="12" spans="2:3" ht="18">
      <c r="B12" s="5" t="str">
        <v>입원환자 수</v>
      </c>
      <c r="C12" s="6" t="s">
        <v>43</v>
      </c>
    </row>
    <row r="18" spans="3:3">
      <c r="C18" s="1" t="s">
        <v>47</v>
      </c>
    </row>
    <row r="19" spans="3:3">
      <c r="C19" s="1" t="s">
        <v>48</v>
      </c>
    </row>
    <row r="20" spans="3:3">
      <c r="C20" s="1" t="s">
        <v>49</v>
      </c>
    </row>
    <row r="21" spans="3:3">
      <c r="C21" s="1" t="s">
        <v>50</v>
      </c>
    </row>
    <row r="22" spans="3:3">
      <c r="C22" s="1" t="s">
        <v>51</v>
      </c>
    </row>
    <row r="23" spans="3:3">
      <c r="C23" s="1" t="s">
        <v>52</v>
      </c>
    </row>
    <row r="24" spans="3:3">
      <c r="C24" s="1" t="s">
        <v>53</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D127-DB27-8D41-93A3-35E780D9844F}">
  <dimension ref="B3:C25"/>
  <sheetViews>
    <sheetView workbookViewId="0">
      <selection activeCell="C12" sqref="B3:C12"/>
    </sheetView>
  </sheetViews>
  <sheetFormatPr baseColWidth="10" defaultRowHeight="17"/>
  <cols>
    <col min="2" max="2" width="26.83203125" bestFit="1" customWidth="1"/>
    <col min="3" max="3" width="55.6640625" bestFit="1" customWidth="1"/>
  </cols>
  <sheetData>
    <row r="3" spans="2:3" ht="18">
      <c r="B3" s="2" t="s">
        <v>39</v>
      </c>
      <c r="C3" s="3" t="str">
        <f>'Dataset Summary'!A5</f>
        <v>ds_0104</v>
      </c>
    </row>
    <row r="4" spans="2:3" ht="18">
      <c r="B4" s="2" t="s">
        <v>40</v>
      </c>
      <c r="C4" s="3" t="str">
        <f>'Dataset Summary'!B5</f>
        <v>중증급성호흡기감염증 환자 중 인플루엔자 환자 수(SARI)</v>
      </c>
    </row>
    <row r="5" spans="2:3" ht="18">
      <c r="B5" s="2" t="s">
        <v>41</v>
      </c>
      <c r="C5" s="4">
        <f>'Dataset Summary'!C5</f>
        <v>15</v>
      </c>
    </row>
    <row r="6" spans="2:3" ht="18">
      <c r="B6" s="2" t="s">
        <v>34</v>
      </c>
      <c r="C6" s="3" t="str">
        <f>'Dataset Summary'!D5</f>
        <v>주차,연령대,﻿연도,입원환자 수</v>
      </c>
    </row>
    <row r="9" spans="2:3" ht="18">
      <c r="B9" s="5" t="str" cm="1">
        <f t="array" ref="B9:B12">TRANSPOSE(_xlfn.TEXTSPLIT(C6, ","))</f>
        <v>주차</v>
      </c>
      <c r="C9" s="6" t="s">
        <v>43</v>
      </c>
    </row>
    <row r="10" spans="2:3" ht="18">
      <c r="B10" s="5" t="str">
        <v>연령대</v>
      </c>
      <c r="C10" s="6" t="s">
        <v>42</v>
      </c>
    </row>
    <row r="11" spans="2:3" ht="18">
      <c r="B11" s="5" t="str">
        <v>﻿연도</v>
      </c>
      <c r="C11" s="6" t="s">
        <v>43</v>
      </c>
    </row>
    <row r="12" spans="2:3" ht="18">
      <c r="B12" s="5" t="str">
        <v>입원환자 수</v>
      </c>
      <c r="C12" s="6" t="s">
        <v>43</v>
      </c>
    </row>
    <row r="18" spans="3:3">
      <c r="C18" s="1" t="s">
        <v>35</v>
      </c>
    </row>
    <row r="19" spans="3:3">
      <c r="C19" s="1" t="s">
        <v>55</v>
      </c>
    </row>
    <row r="20" spans="3:3">
      <c r="C20" s="1" t="s">
        <v>56</v>
      </c>
    </row>
    <row r="21" spans="3:3">
      <c r="C21" s="1" t="s">
        <v>57</v>
      </c>
    </row>
    <row r="22" spans="3:3">
      <c r="C22" s="1" t="s">
        <v>58</v>
      </c>
    </row>
    <row r="23" spans="3:3">
      <c r="C23" s="1" t="s">
        <v>59</v>
      </c>
    </row>
    <row r="24" spans="3:3">
      <c r="C24" s="1" t="s">
        <v>60</v>
      </c>
    </row>
    <row r="25" spans="3:3">
      <c r="C25" s="1" t="s">
        <v>53</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DD0BE-FF30-FD42-AA15-4CBAD6771B27}">
  <dimension ref="B3:C12"/>
  <sheetViews>
    <sheetView workbookViewId="0">
      <selection activeCell="E55" sqref="E55"/>
    </sheetView>
  </sheetViews>
  <sheetFormatPr baseColWidth="10" defaultRowHeight="17"/>
  <cols>
    <col min="2" max="2" width="14.83203125" bestFit="1" customWidth="1"/>
    <col min="3" max="3" width="57.5" bestFit="1" customWidth="1"/>
  </cols>
  <sheetData>
    <row r="3" spans="2:3" ht="18">
      <c r="B3" s="2" t="s">
        <v>39</v>
      </c>
      <c r="C3" s="3" t="str">
        <f>'Dataset Summary'!A6</f>
        <v>ds_0105</v>
      </c>
    </row>
    <row r="4" spans="2:3" ht="18">
      <c r="B4" s="2" t="s">
        <v>40</v>
      </c>
      <c r="C4" s="3" t="str">
        <f>'Dataset Summary'!B6</f>
        <v>의원급 의료기관 인플루엔자 검출률(K-RISS)-아형별</v>
      </c>
    </row>
    <row r="5" spans="2:3" ht="18">
      <c r="B5" s="2" t="s">
        <v>41</v>
      </c>
      <c r="C5" s="4">
        <f>'Dataset Summary'!C6</f>
        <v>16</v>
      </c>
    </row>
    <row r="6" spans="2:3" ht="18">
      <c r="B6" s="2" t="s">
        <v>34</v>
      </c>
      <c r="C6" s="3" t="str">
        <f>'Dataset Summary'!D6</f>
        <v>아형,주차,﻿연도,인플루엔자 검출률</v>
      </c>
    </row>
    <row r="9" spans="2:3" ht="18">
      <c r="B9" s="5" t="str" cm="1">
        <f t="array" ref="B9:B12">TRANSPOSE(_xlfn.TEXTSPLIT(C6, ","))</f>
        <v>아형</v>
      </c>
      <c r="C9" s="6" t="s">
        <v>42</v>
      </c>
    </row>
    <row r="10" spans="2:3" ht="18">
      <c r="B10" s="5" t="str">
        <v>주차</v>
      </c>
      <c r="C10" s="6" t="s">
        <v>43</v>
      </c>
    </row>
    <row r="11" spans="2:3" ht="18">
      <c r="B11" s="5" t="str">
        <v>﻿연도</v>
      </c>
      <c r="C11" s="6" t="s">
        <v>43</v>
      </c>
    </row>
    <row r="12" spans="2:3" ht="18">
      <c r="B12" s="5" t="str">
        <v>인플루엔자 검출률</v>
      </c>
      <c r="C12" s="6" t="s">
        <v>43</v>
      </c>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6A63-6DFB-4645-B35A-B038A72AE682}">
  <dimension ref="B3:C12"/>
  <sheetViews>
    <sheetView workbookViewId="0">
      <selection activeCell="C24" sqref="C24"/>
    </sheetView>
  </sheetViews>
  <sheetFormatPr baseColWidth="10" defaultRowHeight="17"/>
  <cols>
    <col min="2" max="2" width="19.33203125" bestFit="1" customWidth="1"/>
    <col min="3" max="3" width="52.1640625" bestFit="1" customWidth="1"/>
  </cols>
  <sheetData>
    <row r="3" spans="2:3" ht="18">
      <c r="B3" s="2" t="s">
        <v>39</v>
      </c>
      <c r="C3" s="3" t="str">
        <f>'Dataset Summary'!A7</f>
        <v>ds_0106</v>
      </c>
    </row>
    <row r="4" spans="2:3" ht="18">
      <c r="B4" s="2" t="s">
        <v>40</v>
      </c>
      <c r="C4" s="3" t="str">
        <f>'Dataset Summary'!B7</f>
        <v>의원급 의료기관 인플루엔자 검출률(K-RISS)-연령대별</v>
      </c>
    </row>
    <row r="5" spans="2:3" ht="18">
      <c r="B5" s="2" t="s">
        <v>41</v>
      </c>
      <c r="C5" s="4">
        <f>'Dataset Summary'!C7</f>
        <v>16</v>
      </c>
    </row>
    <row r="6" spans="2:3" ht="18">
      <c r="B6" s="2" t="s">
        <v>34</v>
      </c>
      <c r="C6" s="3" t="str">
        <f>'Dataset Summary'!D7</f>
        <v>주차,연령대,﻿연도,인플루엔자 검출률</v>
      </c>
    </row>
    <row r="9" spans="2:3" ht="18">
      <c r="B9" s="5" t="str" cm="1">
        <f t="array" ref="B9:B12">TRANSPOSE(_xlfn.TEXTSPLIT(C6, ","))</f>
        <v>주차</v>
      </c>
      <c r="C9" s="6" t="s">
        <v>43</v>
      </c>
    </row>
    <row r="10" spans="2:3" ht="18">
      <c r="B10" s="5" t="str">
        <v>연령대</v>
      </c>
      <c r="C10" s="6" t="s">
        <v>42</v>
      </c>
    </row>
    <row r="11" spans="2:3" ht="18">
      <c r="B11" s="5" t="str">
        <v>﻿연도</v>
      </c>
      <c r="C11" s="6" t="s">
        <v>43</v>
      </c>
    </row>
    <row r="12" spans="2:3" ht="18">
      <c r="B12" s="5" t="str">
        <v>인플루엔자 검출률</v>
      </c>
      <c r="C12" s="6" t="s">
        <v>43</v>
      </c>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818C9-4933-3447-82CE-4722368906F1}">
  <dimension ref="B3:C12"/>
  <sheetViews>
    <sheetView workbookViewId="0">
      <selection activeCell="C12" sqref="B3:C12"/>
    </sheetView>
  </sheetViews>
  <sheetFormatPr baseColWidth="10" defaultRowHeight="17"/>
  <cols>
    <col min="2" max="2" width="19.33203125" bestFit="1" customWidth="1"/>
    <col min="3" max="3" width="54.33203125" bestFit="1" customWidth="1"/>
  </cols>
  <sheetData>
    <row r="3" spans="2:3" ht="18">
      <c r="B3" s="2" t="s">
        <v>39</v>
      </c>
      <c r="C3" s="3" t="str">
        <f>'Dataset Summary'!A8</f>
        <v>ds_0107</v>
      </c>
    </row>
    <row r="4" spans="2:3" ht="18">
      <c r="B4" s="2" t="s">
        <v>40</v>
      </c>
      <c r="C4" s="3" t="str">
        <f>'Dataset Summary'!B8</f>
        <v>검사기관 인플루엔자 검출률-아형별</v>
      </c>
    </row>
    <row r="5" spans="2:3" ht="18">
      <c r="B5" s="2" t="s">
        <v>41</v>
      </c>
      <c r="C5" s="4">
        <f>'Dataset Summary'!C8</f>
        <v>15</v>
      </c>
    </row>
    <row r="6" spans="2:3" ht="18">
      <c r="B6" s="2" t="s">
        <v>34</v>
      </c>
      <c r="C6" s="3" t="str">
        <f>'Dataset Summary'!D8</f>
        <v>아형,주차,﻿연도,인플루엔자 검출률</v>
      </c>
    </row>
    <row r="9" spans="2:3" ht="18">
      <c r="B9" s="5" t="str" cm="1">
        <f t="array" ref="B9:B12">TRANSPOSE(_xlfn.TEXTSPLIT(C6, ","))</f>
        <v>아형</v>
      </c>
      <c r="C9" s="6" t="s">
        <v>42</v>
      </c>
    </row>
    <row r="10" spans="2:3" ht="18">
      <c r="B10" s="5" t="str">
        <v>주차</v>
      </c>
      <c r="C10" s="6" t="s">
        <v>43</v>
      </c>
    </row>
    <row r="11" spans="2:3" ht="18">
      <c r="B11" s="5" t="str">
        <v>﻿연도</v>
      </c>
      <c r="C11" s="6" t="s">
        <v>43</v>
      </c>
    </row>
    <row r="12" spans="2:3" ht="18">
      <c r="B12" s="5" t="str">
        <v>인플루엔자 검출률</v>
      </c>
      <c r="C12" s="6" t="s">
        <v>43</v>
      </c>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CBF6E-A9E9-9040-B438-5153621FF937}">
  <dimension ref="B3:C13"/>
  <sheetViews>
    <sheetView workbookViewId="0">
      <selection activeCell="G16" sqref="G16"/>
    </sheetView>
  </sheetViews>
  <sheetFormatPr baseColWidth="10" defaultRowHeight="17"/>
  <cols>
    <col min="2" max="2" width="24.5" bestFit="1" customWidth="1"/>
    <col min="3" max="3" width="60.83203125" bestFit="1" customWidth="1"/>
  </cols>
  <sheetData>
    <row r="3" spans="2:3" ht="18">
      <c r="B3" s="2" t="s">
        <v>39</v>
      </c>
      <c r="C3" s="3" t="str">
        <f>'Dataset Summary'!A9</f>
        <v>ds_0108</v>
      </c>
    </row>
    <row r="4" spans="2:3" ht="18">
      <c r="B4" s="2" t="s">
        <v>40</v>
      </c>
      <c r="C4" s="3" t="str">
        <f>'Dataset Summary'!B9</f>
        <v>검사기관 인플루엔자 검출률-연령대별</v>
      </c>
    </row>
    <row r="5" spans="2:3" ht="18">
      <c r="B5" s="2" t="s">
        <v>41</v>
      </c>
      <c r="C5" s="4">
        <f>'Dataset Summary'!C9</f>
        <v>18</v>
      </c>
    </row>
    <row r="6" spans="2:3" ht="18">
      <c r="B6" s="2" t="s">
        <v>34</v>
      </c>
      <c r="C6" s="3" t="str">
        <f>'Dataset Summary'!D9</f>
        <v>주차,연령대,﻿연도,인플루엔자 검출률,응급실 인플루엔자 환자</v>
      </c>
    </row>
    <row r="9" spans="2:3" ht="18">
      <c r="B9" s="5" t="str" cm="1">
        <f t="array" ref="B9:B13">TRANSPOSE(_xlfn.TEXTSPLIT(C6, ","))</f>
        <v>주차</v>
      </c>
      <c r="C9" s="6" t="s">
        <v>43</v>
      </c>
    </row>
    <row r="10" spans="2:3" ht="18">
      <c r="B10" s="5" t="str">
        <v>연령대</v>
      </c>
      <c r="C10" s="6" t="s">
        <v>42</v>
      </c>
    </row>
    <row r="11" spans="2:3" ht="18">
      <c r="B11" s="5" t="str">
        <v>﻿연도</v>
      </c>
      <c r="C11" s="6" t="s">
        <v>43</v>
      </c>
    </row>
    <row r="12" spans="2:3" ht="18">
      <c r="B12" s="5" t="str">
        <v>인플루엔자 검출률</v>
      </c>
      <c r="C12" s="6" t="s">
        <v>43</v>
      </c>
    </row>
    <row r="13" spans="2:3" ht="18">
      <c r="B13" s="5" t="str">
        <v>응급실 인플루엔자 환자</v>
      </c>
      <c r="C13" s="6" t="s">
        <v>65</v>
      </c>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4433-CEFD-B643-A1D8-9389FB10A136}">
  <dimension ref="B3:C12"/>
  <sheetViews>
    <sheetView workbookViewId="0">
      <selection activeCell="B3" sqref="B3:C12"/>
    </sheetView>
  </sheetViews>
  <sheetFormatPr baseColWidth="10" defaultRowHeight="17"/>
  <cols>
    <col min="2" max="2" width="24.5" bestFit="1" customWidth="1"/>
    <col min="3" max="3" width="60.83203125" bestFit="1" customWidth="1"/>
  </cols>
  <sheetData>
    <row r="3" spans="2:3" ht="18">
      <c r="B3" s="2" t="s">
        <v>39</v>
      </c>
      <c r="C3" s="3" t="str">
        <f>'Dataset Summary'!A10</f>
        <v>ds_0109</v>
      </c>
    </row>
    <row r="4" spans="2:3" ht="18">
      <c r="B4" s="2" t="s">
        <v>40</v>
      </c>
      <c r="C4" s="3" t="str">
        <f>'Dataset Summary'!B10</f>
        <v>응급실 인플루엔자 환자 수(NEDIS)</v>
      </c>
    </row>
    <row r="5" spans="2:3" ht="18">
      <c r="B5" s="2" t="s">
        <v>41</v>
      </c>
      <c r="C5" s="4">
        <f>'Dataset Summary'!C10</f>
        <v>14</v>
      </c>
    </row>
    <row r="6" spans="2:3" ht="18">
      <c r="B6" s="2" t="s">
        <v>34</v>
      </c>
      <c r="C6" s="3" t="str">
        <f>'Dataset Summary'!D10</f>
        <v>주차,연령대,﻿연도,응급실 인플루엔자 환자</v>
      </c>
    </row>
    <row r="9" spans="2:3" ht="18">
      <c r="B9" s="5" t="str" cm="1">
        <f t="array" ref="B9:B12">TRANSPOSE(_xlfn.TEXTSPLIT(C6, ","))</f>
        <v>주차</v>
      </c>
      <c r="C9" s="6" t="s">
        <v>43</v>
      </c>
    </row>
    <row r="10" spans="2:3" ht="18">
      <c r="B10" s="5" t="str">
        <v>연령대</v>
      </c>
      <c r="C10" s="6" t="s">
        <v>42</v>
      </c>
    </row>
    <row r="11" spans="2:3" ht="18">
      <c r="B11" s="5" t="str">
        <v>﻿연도</v>
      </c>
      <c r="C11" s="6" t="s">
        <v>43</v>
      </c>
    </row>
    <row r="12" spans="2:3" ht="18">
      <c r="B12" s="5" t="str">
        <v>응급실 인플루엔자 환자</v>
      </c>
      <c r="C12" s="6" t="s">
        <v>43</v>
      </c>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8A1A-C9BD-0544-9E9F-FA44254F3AA2}">
  <dimension ref="B3:C12"/>
  <sheetViews>
    <sheetView workbookViewId="0">
      <selection activeCell="B3" sqref="B3:C12"/>
    </sheetView>
  </sheetViews>
  <sheetFormatPr baseColWidth="10" defaultRowHeight="17"/>
  <cols>
    <col min="2" max="2" width="24.5" bestFit="1" customWidth="1"/>
    <col min="3" max="3" width="41.6640625" bestFit="1" customWidth="1"/>
  </cols>
  <sheetData>
    <row r="3" spans="2:3" ht="18">
      <c r="B3" s="2" t="s">
        <v>39</v>
      </c>
      <c r="C3" s="3" t="str">
        <f>'Dataset Summary'!A11</f>
        <v>ds_0110</v>
      </c>
    </row>
    <row r="4" spans="2:3" ht="18">
      <c r="B4" s="2" t="s">
        <v>40</v>
      </c>
      <c r="C4" s="3" t="str">
        <f>'Dataset Summary'!B11</f>
        <v>인플루엔자 예방접종률-어르신</v>
      </c>
    </row>
    <row r="5" spans="2:3" ht="18">
      <c r="B5" s="2" t="s">
        <v>41</v>
      </c>
      <c r="C5" s="4">
        <f>'Dataset Summary'!C11</f>
        <v>10</v>
      </c>
    </row>
    <row r="6" spans="2:3" ht="18">
      <c r="B6" s="2" t="s">
        <v>34</v>
      </c>
      <c r="C6" s="3" t="str">
        <f>'Dataset Summary'!D11</f>
        <v>연도,주차,연령대,예방접종률</v>
      </c>
    </row>
    <row r="9" spans="2:3" ht="18">
      <c r="B9" s="5" t="str" cm="1">
        <f t="array" ref="B9:B12">TRANSPOSE(_xlfn.TEXTSPLIT(C6, ","))</f>
        <v>연도</v>
      </c>
      <c r="C9" s="6" t="s">
        <v>43</v>
      </c>
    </row>
    <row r="10" spans="2:3" ht="18">
      <c r="B10" s="5" t="str">
        <v>주차</v>
      </c>
      <c r="C10" s="6" t="s">
        <v>43</v>
      </c>
    </row>
    <row r="11" spans="2:3" ht="18">
      <c r="B11" s="5" t="str">
        <v>연령대</v>
      </c>
      <c r="C11" s="6" t="s">
        <v>42</v>
      </c>
    </row>
    <row r="12" spans="2:3" ht="18">
      <c r="B12" s="5" t="str">
        <v>예방접종률</v>
      </c>
      <c r="C12" s="6" t="s">
        <v>43</v>
      </c>
    </row>
  </sheetData>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05548-6AF4-184E-A878-3489C93A0958}">
  <dimension ref="B3:C12"/>
  <sheetViews>
    <sheetView workbookViewId="0">
      <selection activeCell="C5" sqref="C5"/>
    </sheetView>
  </sheetViews>
  <sheetFormatPr baseColWidth="10" defaultRowHeight="17"/>
  <cols>
    <col min="2" max="2" width="14.83203125" bestFit="1" customWidth="1"/>
    <col min="3" max="3" width="31.5" bestFit="1" customWidth="1"/>
  </cols>
  <sheetData>
    <row r="3" spans="2:3" ht="18">
      <c r="B3" s="2" t="s">
        <v>39</v>
      </c>
      <c r="C3" s="3" t="str">
        <f>'Dataset Summary'!A12</f>
        <v>ds_0111</v>
      </c>
    </row>
    <row r="4" spans="2:3" ht="18">
      <c r="B4" s="2" t="s">
        <v>40</v>
      </c>
      <c r="C4" s="3" t="str">
        <f>'Dataset Summary'!B12</f>
        <v>인플루엔자 예방접종률-어린이</v>
      </c>
    </row>
    <row r="5" spans="2:3" ht="18">
      <c r="B5" s="2" t="s">
        <v>41</v>
      </c>
      <c r="C5" s="4">
        <f>'Dataset Summary'!C12</f>
        <v>9</v>
      </c>
    </row>
    <row r="6" spans="2:3" ht="18">
      <c r="B6" s="2" t="s">
        <v>34</v>
      </c>
      <c r="C6" s="3" t="str">
        <f>'Dataset Summary'!D12</f>
        <v>연도,주차,연령대,예방접종률</v>
      </c>
    </row>
    <row r="9" spans="2:3" ht="18">
      <c r="B9" s="5" t="str" cm="1">
        <f t="array" ref="B9:B12">TRANSPOSE(_xlfn.TEXTSPLIT(C6, ","))</f>
        <v>연도</v>
      </c>
      <c r="C9" s="6" t="s">
        <v>43</v>
      </c>
    </row>
    <row r="10" spans="2:3" ht="18">
      <c r="B10" s="5" t="str">
        <v>주차</v>
      </c>
      <c r="C10" s="6" t="s">
        <v>43</v>
      </c>
    </row>
    <row r="11" spans="2:3" ht="18">
      <c r="B11" s="5" t="str">
        <v>연령대</v>
      </c>
      <c r="C11" s="6" t="s">
        <v>42</v>
      </c>
    </row>
    <row r="12" spans="2:3" ht="18">
      <c r="B12" s="5" t="str">
        <v>예방접종률</v>
      </c>
      <c r="C12" s="6" t="s">
        <v>43</v>
      </c>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9246-4688-8C48-9211-ABFD17EFB999}">
  <dimension ref="B3:C41"/>
  <sheetViews>
    <sheetView workbookViewId="0">
      <selection activeCell="C6" sqref="C6"/>
    </sheetView>
  </sheetViews>
  <sheetFormatPr baseColWidth="10" defaultRowHeight="17"/>
  <cols>
    <col min="2" max="2" width="30" bestFit="1" customWidth="1"/>
    <col min="3" max="3" width="31.5" bestFit="1" customWidth="1"/>
  </cols>
  <sheetData>
    <row r="3" spans="2:3" ht="18">
      <c r="B3" s="2" t="s">
        <v>39</v>
      </c>
      <c r="C3" s="3" t="str">
        <f>'Dataset Summary'!A13</f>
        <v>ds_0201</v>
      </c>
    </row>
    <row r="4" spans="2:3" ht="18">
      <c r="B4" s="2" t="s">
        <v>40</v>
      </c>
      <c r="C4" s="3" t="str">
        <f>'Dataset Summary'!B13</f>
        <v>의료통계정보-지역별 종별 의료인력</v>
      </c>
    </row>
    <row r="5" spans="2:3" ht="18">
      <c r="B5" s="2" t="s">
        <v>41</v>
      </c>
      <c r="C5" s="4">
        <f>'Dataset Summary'!C13</f>
        <v>779</v>
      </c>
    </row>
    <row r="6" spans="2:3" ht="18">
      <c r="B6" s="2" t="s">
        <v>34</v>
      </c>
      <c r="C6" s="3" t="str">
        <f>'Dataset Summary'!D13</f>
        <v>약사계,조산사,﻿시도,물리치료사,사회복지사,의사 / 인턴,작업치료사,의사 / 의사계,의사 / 일반의,의사 / 전문의,의사 / 레지던트,한의사 / 한의사계,치과의사 / 치과인턴,치과의사 / 치과의사계,치과의사 / 치과일반의,치과의사 / 치과전문의,한의사 / 한의사일반의,한의사 / 한의사전문의,치과의사 / 치과레지턴트,한의사 / 한의사일반수련의,한의사 / 한의사전문수련의,인력코드상위 / 요양기관종별</v>
      </c>
    </row>
    <row r="9" spans="2:3" ht="18">
      <c r="B9" s="5" t="str" cm="1">
        <f t="array" ref="B9:B30">TRANSPOSE(_xlfn.TEXTSPLIT(C6, ","))</f>
        <v>약사계</v>
      </c>
      <c r="C9" s="6" t="s">
        <v>43</v>
      </c>
    </row>
    <row r="10" spans="2:3" ht="18">
      <c r="B10" s="5" t="str">
        <v>조산사</v>
      </c>
      <c r="C10" s="6" t="s">
        <v>43</v>
      </c>
    </row>
    <row r="11" spans="2:3" ht="18">
      <c r="B11" s="5" t="str">
        <v>﻿시도</v>
      </c>
      <c r="C11" s="6" t="s">
        <v>42</v>
      </c>
    </row>
    <row r="12" spans="2:3" ht="18">
      <c r="B12" s="5" t="str">
        <v>물리치료사</v>
      </c>
      <c r="C12" s="6" t="s">
        <v>43</v>
      </c>
    </row>
    <row r="13" spans="2:3" ht="18">
      <c r="B13" s="5" t="str">
        <v>사회복지사</v>
      </c>
      <c r="C13" s="6" t="s">
        <v>43</v>
      </c>
    </row>
    <row r="14" spans="2:3" ht="18">
      <c r="B14" s="5" t="str">
        <v>의사 / 인턴</v>
      </c>
      <c r="C14" s="6" t="s">
        <v>43</v>
      </c>
    </row>
    <row r="15" spans="2:3" ht="18">
      <c r="B15" s="5" t="str">
        <v>작업치료사</v>
      </c>
      <c r="C15" s="6" t="s">
        <v>43</v>
      </c>
    </row>
    <row r="16" spans="2:3" ht="18">
      <c r="B16" s="5" t="str">
        <v>의사 / 의사계</v>
      </c>
      <c r="C16" s="6" t="s">
        <v>43</v>
      </c>
    </row>
    <row r="17" spans="2:3" ht="18">
      <c r="B17" s="5" t="str">
        <v>의사 / 일반의</v>
      </c>
      <c r="C17" s="6" t="s">
        <v>43</v>
      </c>
    </row>
    <row r="18" spans="2:3" ht="18">
      <c r="B18" s="5" t="str">
        <v>의사 / 전문의</v>
      </c>
      <c r="C18" s="6" t="s">
        <v>43</v>
      </c>
    </row>
    <row r="19" spans="2:3" ht="18">
      <c r="B19" s="5" t="str">
        <v>의사 / 레지던트</v>
      </c>
      <c r="C19" s="6" t="s">
        <v>43</v>
      </c>
    </row>
    <row r="20" spans="2:3" ht="18">
      <c r="B20" s="5" t="str">
        <v>한의사 / 한의사계</v>
      </c>
      <c r="C20" s="6" t="s">
        <v>43</v>
      </c>
    </row>
    <row r="21" spans="2:3" ht="18">
      <c r="B21" s="5" t="str">
        <v>치과의사 / 치과인턴</v>
      </c>
      <c r="C21" s="6" t="s">
        <v>43</v>
      </c>
    </row>
    <row r="22" spans="2:3" ht="18">
      <c r="B22" s="5" t="str">
        <v>치과의사 / 치과의사계</v>
      </c>
      <c r="C22" s="6" t="s">
        <v>43</v>
      </c>
    </row>
    <row r="23" spans="2:3" ht="18">
      <c r="B23" s="5" t="str">
        <v>치과의사 / 치과일반의</v>
      </c>
      <c r="C23" s="6" t="s">
        <v>43</v>
      </c>
    </row>
    <row r="24" spans="2:3" ht="18">
      <c r="B24" s="5" t="str">
        <v>치과의사 / 치과전문의</v>
      </c>
      <c r="C24" s="6" t="s">
        <v>43</v>
      </c>
    </row>
    <row r="25" spans="2:3" ht="18">
      <c r="B25" s="5" t="str">
        <v>한의사 / 한의사일반의</v>
      </c>
      <c r="C25" s="6" t="s">
        <v>43</v>
      </c>
    </row>
    <row r="26" spans="2:3" ht="18">
      <c r="B26" s="5" t="str">
        <v>한의사 / 한의사전문의</v>
      </c>
      <c r="C26" s="6" t="s">
        <v>43</v>
      </c>
    </row>
    <row r="27" spans="2:3" ht="18">
      <c r="B27" s="5" t="str">
        <v>치과의사 / 치과레지턴트</v>
      </c>
      <c r="C27" s="6" t="s">
        <v>43</v>
      </c>
    </row>
    <row r="28" spans="2:3" ht="18">
      <c r="B28" s="5" t="str">
        <v>한의사 / 한의사일반수련의</v>
      </c>
      <c r="C28" s="6" t="s">
        <v>43</v>
      </c>
    </row>
    <row r="29" spans="2:3" ht="18">
      <c r="B29" s="5" t="str">
        <v>한의사 / 한의사전문수련의</v>
      </c>
      <c r="C29" s="6" t="s">
        <v>43</v>
      </c>
    </row>
    <row r="30" spans="2:3" ht="18">
      <c r="B30" s="5" t="str">
        <v>인력코드상위 / 요양기관종별</v>
      </c>
      <c r="C30" s="6" t="s">
        <v>42</v>
      </c>
    </row>
    <row r="41" spans="2:2">
      <c r="B41" t="s">
        <v>70</v>
      </c>
    </row>
  </sheetData>
  <phoneticPr fontId="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A2D0-BC44-1043-A205-0C49EB2C545E}">
  <dimension ref="B4:C10"/>
  <sheetViews>
    <sheetView workbookViewId="0">
      <selection activeCell="J50" sqref="J50"/>
    </sheetView>
  </sheetViews>
  <sheetFormatPr baseColWidth="10" defaultRowHeight="17"/>
  <cols>
    <col min="2" max="2" width="18.6640625" bestFit="1" customWidth="1"/>
    <col min="3" max="3" width="85.83203125" bestFit="1" customWidth="1"/>
  </cols>
  <sheetData>
    <row r="4" spans="2:3" ht="18">
      <c r="B4" s="2" t="s">
        <v>39</v>
      </c>
      <c r="C4" s="3" t="str">
        <f>'Dataset Summary'!A15</f>
        <v>ds_0301</v>
      </c>
    </row>
    <row r="5" spans="2:3" ht="18">
      <c r="B5" s="2" t="s">
        <v>40</v>
      </c>
      <c r="C5" s="3" t="str">
        <f>'Dataset Summary'!B15</f>
        <v>성별 및 연령별 인구와 인구밀도</v>
      </c>
    </row>
    <row r="6" spans="2:3" ht="18">
      <c r="B6" s="2" t="s">
        <v>41</v>
      </c>
      <c r="C6" s="4">
        <f>'Dataset Summary'!C15</f>
        <v>1588</v>
      </c>
    </row>
    <row r="7" spans="2:3" ht="18">
      <c r="B7" s="2" t="s">
        <v>34</v>
      </c>
      <c r="C7" s="3">
        <f>'Dataset Summary'!D15</f>
        <v>0</v>
      </c>
    </row>
    <row r="10" spans="2:3" ht="18">
      <c r="B10" s="5" t="str" cm="1">
        <f t="array" ref="B10">TRANSPOSE(_xlfn.TEXTSPLIT(C7, ","))</f>
        <v>0</v>
      </c>
      <c r="C10" s="6"/>
    </row>
  </sheetData>
  <phoneticPr fontId="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5C04F-4731-424F-966B-4DAC0424735B}">
  <dimension ref="B4:F39"/>
  <sheetViews>
    <sheetView workbookViewId="0">
      <selection activeCell="M52" sqref="M52"/>
    </sheetView>
  </sheetViews>
  <sheetFormatPr baseColWidth="10" defaultRowHeight="17"/>
  <cols>
    <col min="2" max="2" width="14.83203125" bestFit="1" customWidth="1"/>
    <col min="3" max="3" width="33" bestFit="1" customWidth="1"/>
    <col min="4" max="4" width="48.83203125" bestFit="1" customWidth="1"/>
  </cols>
  <sheetData>
    <row r="4" spans="2:6" ht="18">
      <c r="B4" s="2" t="s">
        <v>39</v>
      </c>
      <c r="C4" s="3" t="str">
        <f>'Dataset Summary'!A16</f>
        <v>ds_0401</v>
      </c>
    </row>
    <row r="5" spans="2:6" ht="18">
      <c r="B5" s="2" t="s">
        <v>40</v>
      </c>
      <c r="C5" s="3" t="str">
        <f>'Dataset Summary'!B16</f>
        <v>전국 지역별 인구밀도</v>
      </c>
    </row>
    <row r="6" spans="2:6" ht="18">
      <c r="B6" s="2" t="s">
        <v>41</v>
      </c>
      <c r="C6" s="4">
        <f>'Dataset Summary'!C16</f>
        <v>3</v>
      </c>
    </row>
    <row r="7" spans="2:6" ht="18">
      <c r="B7" s="2" t="s">
        <v>34</v>
      </c>
      <c r="C7" s="3" t="str">
        <f>'Dataset Summary'!D16</f>
        <v>adm_cd,adm_nm,avg_age,corp_cnt,imga_cnt,tot_house,tot_ppltn,imga_ppltn,nongga_cnt,tot_family,ppltn_dnsty,employee_cnt,haesuoga_cnt,naesuoga_cnt,nongga_ppltn,juv_suprt_per,aged_child_idx,haesuoga_ppltn,naesuoga_ppltn,avg_fmember_cnt,oldage_suprt_per,[</v>
      </c>
    </row>
    <row r="10" spans="2:6" ht="18">
      <c r="B10" s="5" t="str" cm="1">
        <f t="array" ref="B10:B31">TRANSPOSE(_xlfn.TEXTSPLIT(C7, ","))</f>
        <v>adm_cd</v>
      </c>
      <c r="C10" s="6" t="s">
        <v>43</v>
      </c>
      <c r="D10" s="10" t="str" cm="1">
        <f t="array" ref="D10:D30">TRANSPOSE(_xlfn.TEXTSPLIT(B36, ","))</f>
        <v>행정구역을 구분하기 위한 행정동 코드</v>
      </c>
      <c r="E10" s="9"/>
      <c r="F10" s="9"/>
    </row>
    <row r="11" spans="2:6" ht="18">
      <c r="B11" s="5" t="str">
        <v>adm_nm</v>
      </c>
      <c r="C11" s="6" t="s">
        <v>42</v>
      </c>
      <c r="D11" s="10" t="str">
        <v>행정구역의 명칭(행정동 이름)</v>
      </c>
      <c r="E11" s="9"/>
      <c r="F11" s="9"/>
    </row>
    <row r="12" spans="2:6" ht="18">
      <c r="B12" s="5" t="str">
        <v>avg_age</v>
      </c>
      <c r="C12" s="6" t="s">
        <v>43</v>
      </c>
      <c r="D12" s="10" t="str">
        <v>해당 지역 주민의 평균 연령</v>
      </c>
      <c r="E12" s="9"/>
      <c r="F12" s="9"/>
    </row>
    <row r="13" spans="2:6" ht="18">
      <c r="B13" s="5" t="str">
        <v>corp_cnt</v>
      </c>
      <c r="C13" s="6" t="s">
        <v>43</v>
      </c>
      <c r="D13" s="10" t="str">
        <v>해당 지역에 등록된 사업체 수</v>
      </c>
      <c r="E13" s="9"/>
      <c r="F13" s="9"/>
    </row>
    <row r="14" spans="2:6" ht="18">
      <c r="B14" s="5" t="str">
        <v>imga_cnt</v>
      </c>
      <c r="C14" s="6" t="s">
        <v>74</v>
      </c>
      <c r="D14" s="10" t="str">
        <v>해당 지역에 거주하는 이주민 가구 수</v>
      </c>
      <c r="E14" s="9"/>
      <c r="F14" s="9"/>
    </row>
    <row r="15" spans="2:6" ht="18">
      <c r="B15" s="5" t="str">
        <v>tot_house</v>
      </c>
      <c r="C15" s="6" t="s">
        <v>43</v>
      </c>
      <c r="D15" s="10" t="str">
        <v>해당 지역의 전체 가구 수</v>
      </c>
      <c r="E15" s="9"/>
      <c r="F15" s="9"/>
    </row>
    <row r="16" spans="2:6" ht="18">
      <c r="B16" s="5" t="str">
        <v>tot_ppltn</v>
      </c>
      <c r="C16" s="6" t="s">
        <v>43</v>
      </c>
      <c r="D16" s="10" t="str">
        <v>해당 지역의 총 인구 수</v>
      </c>
      <c r="E16" s="9"/>
      <c r="F16" s="9"/>
    </row>
    <row r="17" spans="2:6" ht="18">
      <c r="B17" s="5" t="str">
        <v>imga_ppltn</v>
      </c>
      <c r="C17" s="6" t="s">
        <v>74</v>
      </c>
      <c r="D17" s="10" t="str">
        <v>해당 지역에 거주하는 이주민 인구 수</v>
      </c>
      <c r="E17" s="9"/>
      <c r="F17" s="9"/>
    </row>
    <row r="18" spans="2:6" ht="18">
      <c r="B18" s="5" t="str">
        <v>nongga_cnt</v>
      </c>
      <c r="C18" s="6" t="s">
        <v>74</v>
      </c>
      <c r="D18" s="10" t="str">
        <v>해당 지역의 농가 수</v>
      </c>
      <c r="E18" s="9"/>
      <c r="F18" s="9"/>
    </row>
    <row r="19" spans="2:6" ht="18">
      <c r="B19" s="5" t="str">
        <v>tot_family</v>
      </c>
      <c r="C19" s="6" t="s">
        <v>43</v>
      </c>
      <c r="D19" s="10" t="str">
        <v>해당 지역의 전체 가족 수</v>
      </c>
      <c r="E19" s="9"/>
      <c r="F19" s="9"/>
    </row>
    <row r="20" spans="2:6" ht="18">
      <c r="B20" s="5" t="str">
        <v>ppltn_dnsty</v>
      </c>
      <c r="C20" s="6" t="s">
        <v>43</v>
      </c>
      <c r="D20" s="10" t="str">
        <v>단위 면적당 인구 수를 나타내는 인구 밀도</v>
      </c>
      <c r="E20" s="9"/>
      <c r="F20" s="9"/>
    </row>
    <row r="21" spans="2:6" ht="18">
      <c r="B21" s="5" t="str">
        <v>employee_cnt</v>
      </c>
      <c r="C21" s="6" t="s">
        <v>43</v>
      </c>
      <c r="D21" s="10" t="str">
        <v>해당 지역에 종사하는 전체 근로자 수</v>
      </c>
      <c r="E21" s="9"/>
      <c r="F21" s="9"/>
    </row>
    <row r="22" spans="2:6" ht="18">
      <c r="B22" s="5" t="str">
        <v>haesuoga_cnt</v>
      </c>
      <c r="C22" s="6" t="s">
        <v>74</v>
      </c>
      <c r="D22" s="10" t="str">
        <v>해당 지역의 해수면 어업 가구 수</v>
      </c>
      <c r="E22" s="9"/>
      <c r="F22" s="9"/>
    </row>
    <row r="23" spans="2:6" ht="18">
      <c r="B23" s="5" t="str">
        <v>naesuoga_cnt</v>
      </c>
      <c r="C23" s="6" t="s">
        <v>74</v>
      </c>
      <c r="D23" s="10" t="str">
        <v>해당 지역의 내수면 어업 가구 수</v>
      </c>
      <c r="E23" s="9"/>
      <c r="F23" s="9"/>
    </row>
    <row r="24" spans="2:6" ht="18">
      <c r="B24" s="5" t="str">
        <v>nongga_ppltn</v>
      </c>
      <c r="C24" s="6" t="s">
        <v>74</v>
      </c>
      <c r="D24" s="10" t="str">
        <v>해당 지역의 농가 인구 수</v>
      </c>
      <c r="E24" s="9"/>
      <c r="F24" s="9"/>
    </row>
    <row r="25" spans="2:6" ht="18">
      <c r="B25" s="5" t="str">
        <v>juv_suprt_per</v>
      </c>
      <c r="C25" s="6" t="s">
        <v>43</v>
      </c>
      <c r="D25" s="10" t="str">
        <v>유소년 인구를 부양하는 생산가능인구의 비율</v>
      </c>
      <c r="E25" s="9"/>
      <c r="F25" s="9"/>
    </row>
    <row r="26" spans="2:6" ht="18">
      <c r="B26" s="5" t="str">
        <v>aged_child_idx</v>
      </c>
      <c r="C26" s="6" t="s">
        <v>43</v>
      </c>
      <c r="D26" s="10" t="str">
        <v>노년 인구 대비 유소년 인구의 비율을 나타내는 지수</v>
      </c>
      <c r="E26" s="9"/>
      <c r="F26" s="9"/>
    </row>
    <row r="27" spans="2:6" ht="18">
      <c r="B27" s="5" t="str">
        <v>haesuoga_ppltn</v>
      </c>
      <c r="C27" s="6" t="s">
        <v>74</v>
      </c>
      <c r="D27" s="10" t="str">
        <v>해수면 어업에 종사하는 인구 수</v>
      </c>
      <c r="E27" s="9"/>
      <c r="F27" s="9"/>
    </row>
    <row r="28" spans="2:6" ht="18">
      <c r="B28" s="5" t="str">
        <v>naesuoga_ppltn</v>
      </c>
      <c r="C28" s="6" t="s">
        <v>74</v>
      </c>
      <c r="D28" s="10" t="str">
        <v>내수면 어업에 종사하는 인구 수</v>
      </c>
      <c r="E28" s="9"/>
      <c r="F28" s="9"/>
    </row>
    <row r="29" spans="2:6" ht="18">
      <c r="B29" s="5" t="str">
        <v>avg_fmember_cnt</v>
      </c>
      <c r="C29" s="6" t="s">
        <v>43</v>
      </c>
      <c r="D29" s="10" t="str">
        <v>가구당 평균 가족 구성원 수</v>
      </c>
      <c r="E29" s="9"/>
      <c r="F29" s="9"/>
    </row>
    <row r="30" spans="2:6" ht="18">
      <c r="B30" s="5" t="str">
        <v>oldage_suprt_per</v>
      </c>
      <c r="C30" s="6" t="s">
        <v>43</v>
      </c>
      <c r="D30" s="10" t="str">
        <v>노년 인구를 부양하는 생산가능인구의 비율</v>
      </c>
      <c r="E30" s="9"/>
      <c r="F30" s="9"/>
    </row>
    <row r="31" spans="2:6" ht="18">
      <c r="B31" s="5" t="str">
        <v>[</v>
      </c>
      <c r="C31" s="6" t="s">
        <v>74</v>
      </c>
      <c r="D31" s="10"/>
    </row>
    <row r="36" spans="2:2">
      <c r="B36" t="s">
        <v>75</v>
      </c>
    </row>
    <row r="39" spans="2:2">
      <c r="B39" s="1" t="s">
        <v>73</v>
      </c>
    </row>
  </sheetData>
  <phoneticPr fontId="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367CA-AE51-D44D-9E93-22DA98E6B41D}">
  <dimension ref="B3:D136"/>
  <sheetViews>
    <sheetView workbookViewId="0">
      <selection activeCell="K51" sqref="K51"/>
    </sheetView>
  </sheetViews>
  <sheetFormatPr baseColWidth="10" defaultRowHeight="17"/>
  <cols>
    <col min="2" max="2" width="14.83203125" bestFit="1" customWidth="1"/>
    <col min="3" max="3" width="33" bestFit="1" customWidth="1"/>
    <col min="4" max="4" width="35" bestFit="1" customWidth="1"/>
  </cols>
  <sheetData>
    <row r="3" spans="2:4" ht="18">
      <c r="B3" s="2" t="s">
        <v>39</v>
      </c>
      <c r="C3" s="3" t="str">
        <f>'Dataset Summary'!A17</f>
        <v>ds_0501</v>
      </c>
    </row>
    <row r="4" spans="2:4" ht="18">
      <c r="B4" s="2" t="s">
        <v>40</v>
      </c>
      <c r="C4" s="3" t="str">
        <f>'Dataset Summary'!B17</f>
        <v>전국 응급의료기관 실시간 현황 정보</v>
      </c>
    </row>
    <row r="5" spans="2:4" ht="18">
      <c r="B5" s="2" t="s">
        <v>41</v>
      </c>
      <c r="C5" s="4">
        <f>'Dataset Summary'!C17</f>
        <v>7472</v>
      </c>
    </row>
    <row r="6" spans="2:4" ht="18">
      <c r="B6" s="2" t="s">
        <v>34</v>
      </c>
      <c r="C6" s="3" t="str">
        <f>'Dataset Summary'!D17</f>
        <v>hv2,hv3,hv5,hv6,hv7,hv9,hpid,hv10,hv11,hv13,hv14,hv15,hv16,hv17,hv18,hv19,hv21,hv22,hv23,hv24,hv25,hv26,hv27,hv28,hv29,hv30,hv31,hv32,hv33,hv34,hv35,hv36,hv37,hv38,hv39,hv40,hv41,hv42,hv43,hv60,hv61,hvcc,hvec,hvgc,hvoc,rnum,hvccc,hvicc,hvncc,hvs01,hvs02,hvs03,hvs04,hvs05,hvs06,hvs07,hvs08,hvs09,hvs10,hvs11,hvs12,hvs14,hvs15,hvs16,hvs17,hvs18,hvs19,hvs20,hvs21,hvs22,hvs23,hvs24,hvs25,hvs26,hvs27,hvs28,hvs29,hvs30,hvs31,hvs32,hvs33,hvs34,hvs35,hvs36,hvs37,hvs38,hvs46,hvs47,hvs48,hvs49,hvs50,hvs51,hvs52,hvs53,hvs54,hvs55,hvs56,hvs57,hvs58,hvs59,hvs60,hvs61,phpid,hvamyn,hvctayn,hvidate,dutyTel3,hvmriayn,hvoxyayn,hvcrrtayn,hvecmoayn,hvhypoayn,hvincuayn,hvangioayn,hvventiayn,﻿dutyName,hvventisoayn</v>
      </c>
    </row>
    <row r="9" spans="2:4" ht="18">
      <c r="B9" s="5" t="str" cm="1">
        <f t="array" ref="B9:B125">TRANSPOSE(_xlfn.TEXTSPLIT(C6, ","))</f>
        <v>hv2</v>
      </c>
      <c r="C9" s="6" t="s">
        <v>43</v>
      </c>
      <c r="D9" s="10" t="str" cm="1">
        <f t="array" ref="D9:D123">TRANSPOSE(_xlfn.TEXTSPLIT(B136, ","))</f>
        <v>응급실 가용 병상 수(구분 2)</v>
      </c>
    </row>
    <row r="10" spans="2:4" ht="18">
      <c r="B10" s="5" t="str">
        <v>hv3</v>
      </c>
      <c r="C10" s="6" t="s">
        <v>43</v>
      </c>
      <c r="D10" s="10" t="str">
        <v>응급실 가용 병상 수(구분 3)</v>
      </c>
    </row>
    <row r="11" spans="2:4" ht="18">
      <c r="B11" s="5" t="str">
        <v>hv5</v>
      </c>
      <c r="C11" s="6" t="s">
        <v>42</v>
      </c>
      <c r="D11" s="10" t="str">
        <v>응급실 가용 병상 수(구분 5)</v>
      </c>
    </row>
    <row r="12" spans="2:4" ht="18">
      <c r="B12" s="5" t="str">
        <v>hv6</v>
      </c>
      <c r="C12" s="6" t="s">
        <v>43</v>
      </c>
      <c r="D12" s="10" t="str">
        <v>응급실 가용 병상 수(구분 6)</v>
      </c>
    </row>
    <row r="13" spans="2:4" ht="18">
      <c r="B13" s="5" t="str">
        <v>hv7</v>
      </c>
      <c r="C13" s="6" t="s">
        <v>42</v>
      </c>
      <c r="D13" s="10" t="str">
        <v>응급실 가용 병상 수(구분 7)</v>
      </c>
    </row>
    <row r="14" spans="2:4" ht="18">
      <c r="B14" s="5" t="str">
        <v>hv9</v>
      </c>
      <c r="C14" s="6" t="s">
        <v>43</v>
      </c>
      <c r="D14" s="10" t="str">
        <v>응급실 가용 병상 수(구분 9)</v>
      </c>
    </row>
    <row r="15" spans="2:4" ht="18">
      <c r="B15" s="5" t="str">
        <v>hpid</v>
      </c>
      <c r="C15" s="6" t="s">
        <v>42</v>
      </c>
      <c r="D15" s="10" t="str">
        <v>의료기관 고유 식별자</v>
      </c>
    </row>
    <row r="16" spans="2:4" ht="18">
      <c r="B16" s="5" t="str">
        <v>hv10</v>
      </c>
      <c r="C16" s="6" t="s">
        <v>43</v>
      </c>
      <c r="D16" s="10" t="str">
        <v>응급실 가용 병상 수(구분 10)</v>
      </c>
    </row>
    <row r="17" spans="2:4" ht="18">
      <c r="B17" s="5" t="str">
        <v>hv11</v>
      </c>
      <c r="C17" s="6" t="s">
        <v>43</v>
      </c>
      <c r="D17" s="10" t="str">
        <v>응급실 가용 병상 수(구분 11)</v>
      </c>
    </row>
    <row r="18" spans="2:4" ht="18">
      <c r="B18" s="5" t="str">
        <v>hv13</v>
      </c>
      <c r="C18" s="6" t="s">
        <v>43</v>
      </c>
      <c r="D18" s="10" t="str">
        <v>응급실 가용 병상 수(구분 13)</v>
      </c>
    </row>
    <row r="19" spans="2:4" ht="18">
      <c r="B19" s="5" t="str">
        <v>hv14</v>
      </c>
      <c r="C19" s="6" t="s">
        <v>43</v>
      </c>
      <c r="D19" s="10" t="str">
        <v>응급실 가용 병상 수(구분 14)</v>
      </c>
    </row>
    <row r="20" spans="2:4" ht="18">
      <c r="B20" s="5" t="str">
        <v>hv15</v>
      </c>
      <c r="C20" s="6" t="s">
        <v>43</v>
      </c>
      <c r="D20" s="10" t="str">
        <v>응급실 가용 병상 수(구분 15)</v>
      </c>
    </row>
    <row r="21" spans="2:4" ht="18">
      <c r="B21" s="5" t="str">
        <v>hv16</v>
      </c>
      <c r="C21" s="6" t="s">
        <v>43</v>
      </c>
      <c r="D21" s="10" t="str">
        <v>응급실 가용 병상 수(구분 16)</v>
      </c>
    </row>
    <row r="22" spans="2:4" ht="18">
      <c r="B22" s="5" t="str">
        <v>hv17</v>
      </c>
      <c r="C22" s="6" t="s">
        <v>43</v>
      </c>
      <c r="D22" s="10" t="str">
        <v>응급실 가용 병상 수(구분 17)</v>
      </c>
    </row>
    <row r="23" spans="2:4" ht="18">
      <c r="B23" s="5" t="str">
        <v>hv18</v>
      </c>
      <c r="C23" s="6" t="s">
        <v>43</v>
      </c>
      <c r="D23" s="10" t="str">
        <v>응급실 가용 병상 수(구분 18)</v>
      </c>
    </row>
    <row r="24" spans="2:4" ht="18">
      <c r="B24" s="5" t="str">
        <v>hv19</v>
      </c>
      <c r="C24" s="6" t="s">
        <v>43</v>
      </c>
      <c r="D24" s="10" t="str">
        <v>응급실 가용 병상 수(구분 19)</v>
      </c>
    </row>
    <row r="25" spans="2:4" ht="18">
      <c r="B25" s="5" t="str">
        <v>hv21</v>
      </c>
      <c r="C25" s="6" t="s">
        <v>43</v>
      </c>
      <c r="D25" s="10" t="str">
        <v>응급실 가용 병상 수(구분 21)</v>
      </c>
    </row>
    <row r="26" spans="2:4" ht="18">
      <c r="B26" s="5" t="str">
        <v>hv22</v>
      </c>
      <c r="C26" s="6" t="s">
        <v>43</v>
      </c>
      <c r="D26" s="10" t="str">
        <v>응급실 가용 병상 수(구분 22)</v>
      </c>
    </row>
    <row r="27" spans="2:4" ht="18">
      <c r="B27" s="5" t="str">
        <v>hv23</v>
      </c>
      <c r="C27" s="6" t="s">
        <v>43</v>
      </c>
      <c r="D27" s="10" t="str">
        <v>응급실 가용 병상 수(구분 23)</v>
      </c>
    </row>
    <row r="28" spans="2:4" ht="18">
      <c r="B28" s="5" t="str">
        <v>hv24</v>
      </c>
      <c r="C28" s="6" t="s">
        <v>43</v>
      </c>
      <c r="D28" s="10" t="str">
        <v>응급실 가용 병상 수(구분 24)</v>
      </c>
    </row>
    <row r="29" spans="2:4" ht="18">
      <c r="B29" s="5" t="str">
        <v>hv25</v>
      </c>
      <c r="C29" s="6" t="s">
        <v>43</v>
      </c>
      <c r="D29" s="10" t="str">
        <v>응급실 가용 병상 수(구분 25)</v>
      </c>
    </row>
    <row r="30" spans="2:4" ht="18">
      <c r="B30" s="5" t="str">
        <v>hv26</v>
      </c>
      <c r="C30" s="6" t="s">
        <v>43</v>
      </c>
      <c r="D30" s="10" t="str">
        <v>응급실 가용 병상 수(구분 26)</v>
      </c>
    </row>
    <row r="31" spans="2:4" ht="18">
      <c r="B31" s="5" t="str">
        <v>hv27</v>
      </c>
      <c r="C31" s="6" t="s">
        <v>43</v>
      </c>
      <c r="D31" s="10" t="str">
        <v>응급실 가용 병상 수(구분 27)</v>
      </c>
    </row>
    <row r="32" spans="2:4" ht="18">
      <c r="B32" s="5" t="str">
        <v>hv28</v>
      </c>
      <c r="C32" s="6" t="s">
        <v>43</v>
      </c>
      <c r="D32" s="10" t="str">
        <v>응급실 가용 병상 수(구분 28)</v>
      </c>
    </row>
    <row r="33" spans="2:4" ht="18">
      <c r="B33" s="5" t="str">
        <v>hv29</v>
      </c>
      <c r="C33" s="6" t="s">
        <v>43</v>
      </c>
      <c r="D33" s="10" t="str">
        <v>응급실 가용 병상 수(구분 29)</v>
      </c>
    </row>
    <row r="34" spans="2:4" ht="18">
      <c r="B34" s="5" t="str">
        <v>hv30</v>
      </c>
      <c r="C34" s="6" t="s">
        <v>43</v>
      </c>
      <c r="D34" s="10" t="str">
        <v>응급실 가용 병상 수(구분 30)</v>
      </c>
    </row>
    <row r="35" spans="2:4" ht="18">
      <c r="B35" s="5" t="str">
        <v>hv31</v>
      </c>
      <c r="C35" s="6" t="s">
        <v>43</v>
      </c>
      <c r="D35" s="10" t="str">
        <v>응급실 가용 병상 수(구분 31)</v>
      </c>
    </row>
    <row r="36" spans="2:4" ht="18">
      <c r="B36" s="5" t="str">
        <v>hv32</v>
      </c>
      <c r="C36" s="6" t="s">
        <v>43</v>
      </c>
      <c r="D36" s="10" t="str">
        <v>응급실 가용 병상 수(구분 32)</v>
      </c>
    </row>
    <row r="37" spans="2:4" ht="18">
      <c r="B37" s="5" t="str">
        <v>hv33</v>
      </c>
      <c r="C37" s="6" t="s">
        <v>43</v>
      </c>
      <c r="D37" s="10" t="str">
        <v>응급실 가용 병상 수(구분 33)</v>
      </c>
    </row>
    <row r="38" spans="2:4" ht="18">
      <c r="B38" s="5" t="str">
        <v>hv34</v>
      </c>
      <c r="C38" s="6" t="s">
        <v>43</v>
      </c>
      <c r="D38" s="10" t="str">
        <v>응급실 가용 병상 수(구분 34)</v>
      </c>
    </row>
    <row r="39" spans="2:4" ht="18">
      <c r="B39" s="5" t="str">
        <v>hv35</v>
      </c>
      <c r="C39" s="6" t="s">
        <v>43</v>
      </c>
      <c r="D39" s="10" t="str">
        <v>응급실 가용 병상 수(구분 35)</v>
      </c>
    </row>
    <row r="40" spans="2:4" ht="18">
      <c r="B40" s="5" t="str">
        <v>hv36</v>
      </c>
      <c r="C40" s="6" t="s">
        <v>43</v>
      </c>
      <c r="D40" s="10" t="str">
        <v>응급실 가용 병상 수(구분 36)</v>
      </c>
    </row>
    <row r="41" spans="2:4" ht="18">
      <c r="B41" s="5" t="str">
        <v>hv37</v>
      </c>
      <c r="C41" s="6" t="s">
        <v>43</v>
      </c>
      <c r="D41" s="10" t="str">
        <v>응급실 가용 병상 수(구분 37)</v>
      </c>
    </row>
    <row r="42" spans="2:4" ht="18">
      <c r="B42" s="5" t="str">
        <v>hv38</v>
      </c>
      <c r="C42" s="6" t="s">
        <v>43</v>
      </c>
      <c r="D42" s="10" t="str">
        <v>응급실 가용 병상 수(구분 38)</v>
      </c>
    </row>
    <row r="43" spans="2:4" ht="18">
      <c r="B43" s="5" t="str">
        <v>hv39</v>
      </c>
      <c r="C43" s="6" t="s">
        <v>43</v>
      </c>
      <c r="D43" s="10" t="str">
        <v>응급실 가용 병상 수(구분 39)</v>
      </c>
    </row>
    <row r="44" spans="2:4" ht="18">
      <c r="B44" s="5" t="str">
        <v>hv40</v>
      </c>
      <c r="C44" s="6" t="s">
        <v>43</v>
      </c>
      <c r="D44" s="10" t="str">
        <v>응급실 가용 병상 수(구분 40)</v>
      </c>
    </row>
    <row r="45" spans="2:4" ht="18">
      <c r="B45" s="5" t="str">
        <v>hv41</v>
      </c>
      <c r="C45" s="6" t="s">
        <v>43</v>
      </c>
      <c r="D45" s="10" t="str">
        <v>응급실 가용 병상 수(구분 41)</v>
      </c>
    </row>
    <row r="46" spans="2:4" ht="18">
      <c r="B46" s="5" t="str">
        <v>hv42</v>
      </c>
      <c r="C46" s="6" t="s">
        <v>42</v>
      </c>
      <c r="D46" s="10" t="str">
        <v>응급실 가용 병상 수(구분 42)</v>
      </c>
    </row>
    <row r="47" spans="2:4" ht="18">
      <c r="B47" s="5" t="str">
        <v>hv43</v>
      </c>
      <c r="C47" s="6" t="s">
        <v>42</v>
      </c>
      <c r="D47" s="10" t="str">
        <v>응급실 가용 병상 수(구분 43)</v>
      </c>
    </row>
    <row r="48" spans="2:4" ht="18">
      <c r="B48" s="5" t="str">
        <v>hv60</v>
      </c>
      <c r="C48" s="6" t="s">
        <v>43</v>
      </c>
      <c r="D48" s="10" t="str">
        <v>중환자실 가용 병상 수</v>
      </c>
    </row>
    <row r="49" spans="2:4" ht="18">
      <c r="B49" s="5" t="str">
        <v>hv61</v>
      </c>
      <c r="C49" s="6" t="s">
        <v>81</v>
      </c>
      <c r="D49" s="10" t="str">
        <v>격리 병상 가용 여부</v>
      </c>
    </row>
    <row r="50" spans="2:4" ht="18">
      <c r="B50" s="5" t="str">
        <v>hvcc</v>
      </c>
      <c r="C50" s="6" t="s">
        <v>81</v>
      </c>
      <c r="D50" s="10" t="str">
        <v>일반 병상 가용 여부</v>
      </c>
    </row>
    <row r="51" spans="2:4" ht="18">
      <c r="B51" s="5" t="str">
        <v>hvec</v>
      </c>
      <c r="C51" s="6" t="s">
        <v>81</v>
      </c>
      <c r="D51" s="10" t="str">
        <v>수술실 가용 여부</v>
      </c>
    </row>
    <row r="52" spans="2:4" ht="18">
      <c r="B52" s="5" t="str">
        <v>hvgc</v>
      </c>
      <c r="C52" s="6" t="s">
        <v>43</v>
      </c>
      <c r="D52" s="10" t="str">
        <v>접수 순번</v>
      </c>
    </row>
    <row r="53" spans="2:4" ht="18">
      <c r="B53" s="5" t="str">
        <v>hvoc</v>
      </c>
      <c r="C53" s="6" t="s">
        <v>81</v>
      </c>
      <c r="D53" s="10" t="str">
        <v>응급실 중증 병상 가용 여부</v>
      </c>
    </row>
    <row r="54" spans="2:4" ht="18">
      <c r="B54" s="5" t="str">
        <v>rnum</v>
      </c>
      <c r="C54" s="6" t="s">
        <v>81</v>
      </c>
      <c r="D54" s="10" t="str">
        <v>응급실 일반 병상 가용 여부</v>
      </c>
    </row>
    <row r="55" spans="2:4" ht="18">
      <c r="B55" s="5" t="str">
        <v>hvccc</v>
      </c>
      <c r="C55" s="6" t="s">
        <v>81</v>
      </c>
      <c r="D55" s="10" t="str">
        <v>응급실 음압 병상 가용 여부</v>
      </c>
    </row>
    <row r="56" spans="2:4" ht="18">
      <c r="B56" s="5" t="str">
        <v>hvicc</v>
      </c>
      <c r="C56" s="6" t="s">
        <v>81</v>
      </c>
      <c r="D56" s="10" t="str">
        <v>소아응급실 진료 가능 여부</v>
      </c>
    </row>
    <row r="57" spans="2:4" ht="18">
      <c r="B57" s="5" t="str">
        <v>hvncc</v>
      </c>
      <c r="C57" s="6" t="s">
        <v>81</v>
      </c>
      <c r="D57" s="10" t="str">
        <v>소아중환자실 진료 가능 여부</v>
      </c>
    </row>
    <row r="58" spans="2:4" ht="18">
      <c r="B58" s="5" t="str">
        <v>hvs01</v>
      </c>
      <c r="C58" s="6" t="s">
        <v>81</v>
      </c>
      <c r="D58" s="10" t="str">
        <v>신생아중환자실 진료 가능 여부</v>
      </c>
    </row>
    <row r="59" spans="2:4" ht="18">
      <c r="B59" s="5" t="str">
        <v>hvs02</v>
      </c>
      <c r="C59" s="6" t="s">
        <v>81</v>
      </c>
      <c r="D59" s="10" t="str">
        <v>외상응급 진료 가능 여부</v>
      </c>
    </row>
    <row r="60" spans="2:4" ht="18">
      <c r="B60" s="5" t="str">
        <v>hvs03</v>
      </c>
      <c r="C60" s="6" t="s">
        <v>81</v>
      </c>
      <c r="D60" s="10" t="str">
        <v>화상응급 진료 가능 여부</v>
      </c>
    </row>
    <row r="61" spans="2:4" ht="18">
      <c r="B61" s="5" t="str">
        <v>hvs04</v>
      </c>
      <c r="C61" s="6" t="s">
        <v>81</v>
      </c>
      <c r="D61" s="10" t="str">
        <v>심혈관 응급 진료 가능 여부</v>
      </c>
    </row>
    <row r="62" spans="2:4" ht="18">
      <c r="B62" s="5" t="str">
        <v>hvs05</v>
      </c>
      <c r="C62" s="6" t="s">
        <v>81</v>
      </c>
      <c r="D62" s="10" t="str">
        <v>뇌혈관 응급 진료 가능 여부</v>
      </c>
    </row>
    <row r="63" spans="2:4" ht="18">
      <c r="B63" s="5" t="str">
        <v>hvs06</v>
      </c>
      <c r="C63" s="6" t="s">
        <v>81</v>
      </c>
      <c r="D63" s="10" t="str">
        <v>중독 응급 진료 가능 여부</v>
      </c>
    </row>
    <row r="64" spans="2:4" ht="18">
      <c r="B64" s="5" t="str">
        <v>hvs07</v>
      </c>
      <c r="C64" s="6" t="s">
        <v>81</v>
      </c>
      <c r="D64" s="10" t="str">
        <v>정신과 응급 진료 가능 여부</v>
      </c>
    </row>
    <row r="65" spans="2:4" ht="18">
      <c r="B65" s="5" t="str">
        <v>hvs08</v>
      </c>
      <c r="C65" s="6" t="s">
        <v>81</v>
      </c>
      <c r="D65" s="10" t="str">
        <v>산과 응급 진료 가능 여부</v>
      </c>
    </row>
    <row r="66" spans="2:4" ht="18">
      <c r="B66" s="5" t="str">
        <v>hvs09</v>
      </c>
      <c r="C66" s="6" t="s">
        <v>81</v>
      </c>
      <c r="D66" s="10" t="str">
        <v>소아외과 응급 진료 가능 여부</v>
      </c>
    </row>
    <row r="67" spans="2:4" ht="18">
      <c r="B67" s="5" t="str">
        <v>hvs10</v>
      </c>
      <c r="C67" s="6" t="s">
        <v>81</v>
      </c>
      <c r="D67" s="10" t="str">
        <v>소아내과 응급 진료 가능 여부</v>
      </c>
    </row>
    <row r="68" spans="2:4" ht="18">
      <c r="B68" s="5" t="str">
        <v>hvs11</v>
      </c>
      <c r="C68" s="6" t="s">
        <v>81</v>
      </c>
      <c r="D68" s="10" t="str">
        <v>소아외상 응급 진료 가능 여부</v>
      </c>
    </row>
    <row r="69" spans="2:4" ht="18">
      <c r="B69" s="5" t="str">
        <v>hvs12</v>
      </c>
      <c r="C69" s="6" t="s">
        <v>81</v>
      </c>
      <c r="D69" s="10" t="str">
        <v>중증외상 진료 가능 여부</v>
      </c>
    </row>
    <row r="70" spans="2:4" ht="18">
      <c r="B70" s="5" t="str">
        <v>hvs14</v>
      </c>
      <c r="C70" s="6" t="s">
        <v>81</v>
      </c>
      <c r="D70" s="10" t="str">
        <v>중환자 치료 가능 여부</v>
      </c>
    </row>
    <row r="71" spans="2:4" ht="18">
      <c r="B71" s="5" t="str">
        <v>hvs15</v>
      </c>
      <c r="C71" s="6" t="s">
        <v>81</v>
      </c>
      <c r="D71" s="10" t="str">
        <v>혈액투석 가능 여부</v>
      </c>
    </row>
    <row r="72" spans="2:4" ht="18">
      <c r="B72" s="5" t="str">
        <v>hvs16</v>
      </c>
      <c r="C72" s="6" t="s">
        <v>81</v>
      </c>
      <c r="D72" s="10" t="str">
        <v>응급수술 가능 여부</v>
      </c>
    </row>
    <row r="73" spans="2:4" ht="18">
      <c r="B73" s="5" t="str">
        <v>hvs17</v>
      </c>
      <c r="C73" s="6" t="s">
        <v>81</v>
      </c>
      <c r="D73" s="10" t="str">
        <v>응급내시경 가능 여부</v>
      </c>
    </row>
    <row r="74" spans="2:4" ht="18">
      <c r="B74" s="5" t="str">
        <v>hvs18</v>
      </c>
      <c r="C74" s="6" t="s">
        <v>81</v>
      </c>
      <c r="D74" s="10" t="str">
        <v>응급영상진단 가능 여부</v>
      </c>
    </row>
    <row r="75" spans="2:4" ht="18">
      <c r="B75" s="5" t="str">
        <v>hvs19</v>
      </c>
      <c r="C75" s="6" t="s">
        <v>81</v>
      </c>
      <c r="D75" s="10" t="str">
        <v>응급CT 가능 여부</v>
      </c>
    </row>
    <row r="76" spans="2:4" ht="18">
      <c r="B76" s="5" t="str">
        <v>hvs20</v>
      </c>
      <c r="C76" s="6" t="s">
        <v>81</v>
      </c>
      <c r="D76" s="10" t="str">
        <v>응급MRI 가능 여부</v>
      </c>
    </row>
    <row r="77" spans="2:4" ht="18">
      <c r="B77" s="5" t="str">
        <v>hvs21</v>
      </c>
      <c r="C77" s="6" t="s">
        <v>81</v>
      </c>
      <c r="D77" s="10" t="str">
        <v>응급혈관조영 가능 여부</v>
      </c>
    </row>
    <row r="78" spans="2:4" ht="18">
      <c r="B78" s="5" t="str">
        <v>hvs22</v>
      </c>
      <c r="C78" s="6" t="s">
        <v>81</v>
      </c>
      <c r="D78" s="10" t="str">
        <v>응급인공호흡기 사용 가능 여부</v>
      </c>
    </row>
    <row r="79" spans="2:4" ht="18">
      <c r="B79" s="5" t="str">
        <v>hvs23</v>
      </c>
      <c r="C79" s="6" t="s">
        <v>81</v>
      </c>
      <c r="D79" s="10" t="str">
        <v>응급투석 가능 여부</v>
      </c>
    </row>
    <row r="80" spans="2:4" ht="18">
      <c r="B80" s="5" t="str">
        <v>hvs24</v>
      </c>
      <c r="C80" s="6" t="s">
        <v>81</v>
      </c>
      <c r="D80" s="10" t="str">
        <v>응급저체온치료 가능 여부</v>
      </c>
    </row>
    <row r="81" spans="2:4" ht="18">
      <c r="B81" s="5" t="str">
        <v>hvs25</v>
      </c>
      <c r="C81" s="6" t="s">
        <v>81</v>
      </c>
      <c r="D81" s="10" t="str">
        <v>응급심폐소생 가능 여부</v>
      </c>
    </row>
    <row r="82" spans="2:4" ht="18">
      <c r="B82" s="5" t="str">
        <v>hvs26</v>
      </c>
      <c r="C82" s="6" t="s">
        <v>81</v>
      </c>
      <c r="D82" s="10" t="str">
        <v>응급ECMO 가능 여부</v>
      </c>
    </row>
    <row r="83" spans="2:4" ht="18">
      <c r="B83" s="5" t="str">
        <v>hvs27</v>
      </c>
      <c r="C83" s="6" t="s">
        <v>81</v>
      </c>
      <c r="D83" s="10" t="str">
        <v>응급산소공급 가능 여부</v>
      </c>
    </row>
    <row r="84" spans="2:4" ht="18">
      <c r="B84" s="5" t="str">
        <v>hvs28</v>
      </c>
      <c r="C84" s="6" t="s">
        <v>81</v>
      </c>
      <c r="D84" s="10" t="str">
        <v>응급중환자실 운영 여부</v>
      </c>
    </row>
    <row r="85" spans="2:4" ht="18">
      <c r="B85" s="5" t="str">
        <v>hvs29</v>
      </c>
      <c r="C85" s="6" t="s">
        <v>81</v>
      </c>
      <c r="D85" s="10" t="str">
        <v>응급전문의 상주 여부</v>
      </c>
    </row>
    <row r="86" spans="2:4" ht="18">
      <c r="B86" s="5" t="str">
        <v>hvs30</v>
      </c>
      <c r="C86" s="6" t="s">
        <v>81</v>
      </c>
      <c r="D86" s="10" t="str">
        <v>응급간호사 상주 여부</v>
      </c>
    </row>
    <row r="87" spans="2:4" ht="18">
      <c r="B87" s="5" t="str">
        <v>hvs31</v>
      </c>
      <c r="C87" s="6" t="s">
        <v>81</v>
      </c>
      <c r="D87" s="10" t="str">
        <v>응급의료기관 운영 여부</v>
      </c>
    </row>
    <row r="88" spans="2:4" ht="18">
      <c r="B88" s="5" t="str">
        <v>hvs32</v>
      </c>
      <c r="C88" s="6" t="s">
        <v>42</v>
      </c>
      <c r="D88" s="10" t="str">
        <v>응급실 혼잡도 정보</v>
      </c>
    </row>
    <row r="89" spans="2:4" ht="18">
      <c r="B89" s="5" t="str">
        <v>hvs33</v>
      </c>
      <c r="C89" s="6" t="s">
        <v>81</v>
      </c>
      <c r="D89" s="10" t="str">
        <v>응급실 접수 가능 여부</v>
      </c>
    </row>
    <row r="90" spans="2:4" ht="18">
      <c r="B90" s="5" t="str">
        <v>hvs34</v>
      </c>
      <c r="C90" s="6" t="s">
        <v>81</v>
      </c>
      <c r="D90" s="10" t="str">
        <v>응급실 진료 가능 여부</v>
      </c>
    </row>
    <row r="91" spans="2:4" ht="18">
      <c r="B91" s="5" t="str">
        <v>hvs35</v>
      </c>
      <c r="C91" s="6" t="s">
        <v>42</v>
      </c>
      <c r="D91" s="10" t="str">
        <v>응급실 운영 상태</v>
      </c>
    </row>
    <row r="92" spans="2:4" ht="18">
      <c r="B92" s="5" t="str">
        <v>hvs36</v>
      </c>
      <c r="C92" s="6" t="s">
        <v>42</v>
      </c>
      <c r="D92" s="10" t="str">
        <v>응급실 대기 시간 정보</v>
      </c>
    </row>
    <row r="93" spans="2:4" ht="18">
      <c r="B93" s="5" t="str">
        <v>hvs37</v>
      </c>
      <c r="C93" s="6" t="s">
        <v>42</v>
      </c>
      <c r="D93" s="10" t="str">
        <v>응급실 수용 가능 상태</v>
      </c>
    </row>
    <row r="94" spans="2:4" ht="18">
      <c r="B94" s="5" t="str">
        <v>hvs38</v>
      </c>
      <c r="C94" s="6" t="s">
        <v>81</v>
      </c>
      <c r="D94" s="10" t="str">
        <v>응급실 응급환자 수용 가능 여부</v>
      </c>
    </row>
    <row r="95" spans="2:4" ht="18">
      <c r="B95" s="5" t="str">
        <v>hvs46</v>
      </c>
      <c r="C95" s="6" t="s">
        <v>81</v>
      </c>
      <c r="D95" s="10" t="str">
        <v>응급실 일반환자 수용 가능 여부</v>
      </c>
    </row>
    <row r="96" spans="2:4" ht="18">
      <c r="B96" s="5" t="str">
        <v>hvs47</v>
      </c>
      <c r="C96" s="6" t="s">
        <v>81</v>
      </c>
      <c r="D96" s="10" t="str">
        <v>응급실 중증환자 수용 가능 여부</v>
      </c>
    </row>
    <row r="97" spans="2:4" ht="18">
      <c r="B97" s="5" t="str">
        <v>hvs48</v>
      </c>
      <c r="C97" s="6" t="s">
        <v>81</v>
      </c>
      <c r="D97" s="10" t="str">
        <v>응급실 소아환자 수용 가능 여부</v>
      </c>
    </row>
    <row r="98" spans="2:4" ht="18">
      <c r="B98" s="5" t="str">
        <v>hvs49</v>
      </c>
      <c r="C98" s="6" t="s">
        <v>81</v>
      </c>
      <c r="D98" s="10" t="str">
        <v>응급실 산모환자 수용 가능 여부</v>
      </c>
    </row>
    <row r="99" spans="2:4" ht="18">
      <c r="B99" s="5" t="str">
        <v>hvs50</v>
      </c>
      <c r="C99" s="6" t="s">
        <v>81</v>
      </c>
      <c r="D99" s="10" t="str">
        <v>응급실 외상환자 수용 가능 여부</v>
      </c>
    </row>
    <row r="100" spans="2:4" ht="18">
      <c r="B100" s="5" t="str">
        <v>hvs51</v>
      </c>
      <c r="C100" s="6" t="s">
        <v>81</v>
      </c>
      <c r="D100" s="10" t="str">
        <v>응급실 심정지환자 수용 가능 여부</v>
      </c>
    </row>
    <row r="101" spans="2:4" ht="18">
      <c r="B101" s="5" t="str">
        <v>hvs52</v>
      </c>
      <c r="C101" s="6" t="s">
        <v>81</v>
      </c>
      <c r="D101" s="10" t="str">
        <v>응급실 뇌졸중환자 수용 가능 여부</v>
      </c>
    </row>
    <row r="102" spans="2:4" ht="18">
      <c r="B102" s="5" t="str">
        <v>hvs53</v>
      </c>
      <c r="C102" s="6" t="s">
        <v>81</v>
      </c>
      <c r="D102" s="10" t="str">
        <v>응급실 심근경색환자 수용 가능 여부</v>
      </c>
    </row>
    <row r="103" spans="2:4" ht="18">
      <c r="B103" s="5" t="str">
        <v>hvs54</v>
      </c>
      <c r="C103" s="6" t="s">
        <v>81</v>
      </c>
      <c r="D103" s="10" t="str">
        <v>응급실 화상환자 수용 가능 여부</v>
      </c>
    </row>
    <row r="104" spans="2:4" ht="18">
      <c r="B104" s="5" t="str">
        <v>hvs55</v>
      </c>
      <c r="C104" s="6" t="s">
        <v>81</v>
      </c>
      <c r="D104" s="10" t="str">
        <v>응급실 중독환자 수용 가능 여부</v>
      </c>
    </row>
    <row r="105" spans="2:4" ht="18">
      <c r="B105" s="5" t="str">
        <v>hvs56</v>
      </c>
      <c r="C105" s="6" t="s">
        <v>81</v>
      </c>
      <c r="D105" s="10" t="str">
        <v>응급실 감염환자 수용 가능 여부</v>
      </c>
    </row>
    <row r="106" spans="2:4" ht="18">
      <c r="B106" s="5" t="str">
        <v>hvs57</v>
      </c>
      <c r="C106" s="6" t="s">
        <v>81</v>
      </c>
      <c r="D106" s="10" t="str">
        <v>응급실 격리환자 수용 가능 여부</v>
      </c>
    </row>
    <row r="107" spans="2:4" ht="18">
      <c r="B107" s="5" t="str">
        <v>hvs58</v>
      </c>
      <c r="C107" s="6" t="s">
        <v>81</v>
      </c>
      <c r="D107" s="10" t="str">
        <v>응급실 음압격리실 운영 여부</v>
      </c>
    </row>
    <row r="108" spans="2:4" ht="18">
      <c r="B108" s="5" t="str">
        <v>hvs59</v>
      </c>
      <c r="C108" s="6" t="s">
        <v>81</v>
      </c>
      <c r="D108" s="10" t="str">
        <v>응급실 최신 정보 갱신 여부</v>
      </c>
    </row>
    <row r="109" spans="2:4" ht="18">
      <c r="B109" s="5" t="str">
        <v>hvs60</v>
      </c>
      <c r="C109" s="6" t="s">
        <v>43</v>
      </c>
      <c r="D109" s="10" t="str">
        <v>의료기관 고유 ID</v>
      </c>
    </row>
    <row r="110" spans="2:4" ht="18">
      <c r="B110" s="5" t="str">
        <v>hvs61</v>
      </c>
      <c r="C110" s="6" t="s">
        <v>81</v>
      </c>
      <c r="D110" s="10" t="str">
        <v>응급실 야간 운영 여부</v>
      </c>
    </row>
    <row r="111" spans="2:4" ht="18">
      <c r="B111" s="5" t="str">
        <v>phpid</v>
      </c>
      <c r="C111" s="6" t="s">
        <v>81</v>
      </c>
      <c r="D111" s="10" t="str">
        <v>응급실 주말 운영 여부</v>
      </c>
    </row>
    <row r="112" spans="2:4" ht="18">
      <c r="B112" s="5" t="str">
        <v>hvamyn</v>
      </c>
      <c r="C112" s="6" t="s">
        <v>42</v>
      </c>
      <c r="D112" s="10" t="str">
        <v>정보 기준 일시</v>
      </c>
    </row>
    <row r="113" spans="2:4" ht="18">
      <c r="B113" s="5" t="str">
        <v>hvctayn</v>
      </c>
      <c r="C113" s="6" t="s">
        <v>42</v>
      </c>
      <c r="D113" s="10" t="str">
        <v>응급실 대표 연락처</v>
      </c>
    </row>
    <row r="114" spans="2:4" ht="18">
      <c r="B114" s="5" t="str">
        <v>hvidate</v>
      </c>
      <c r="C114" s="6" t="s">
        <v>81</v>
      </c>
      <c r="D114" s="10" t="str">
        <v>응급 MRI 장비 보유 여부</v>
      </c>
    </row>
    <row r="115" spans="2:4" ht="18">
      <c r="B115" s="5" t="str">
        <v>dutyTel3</v>
      </c>
      <c r="C115" s="6" t="s">
        <v>81</v>
      </c>
      <c r="D115" s="10" t="str">
        <v>응급 산소 공급 가능 여부</v>
      </c>
    </row>
    <row r="116" spans="2:4" ht="18">
      <c r="B116" s="5" t="str">
        <v>hvmriayn</v>
      </c>
      <c r="C116" s="6" t="s">
        <v>81</v>
      </c>
      <c r="D116" s="10" t="str">
        <v>응급 심폐소생술 가능 여부</v>
      </c>
    </row>
    <row r="117" spans="2:4" ht="18">
      <c r="B117" s="5" t="str">
        <v>hvoxyayn</v>
      </c>
      <c r="C117" s="6" t="s">
        <v>81</v>
      </c>
      <c r="D117" s="10" t="str">
        <v>응급 ECMO 장비 보유 여부</v>
      </c>
    </row>
    <row r="118" spans="2:4" ht="18">
      <c r="B118" s="5" t="str">
        <v>hvcrrtayn</v>
      </c>
      <c r="C118" s="6" t="s">
        <v>81</v>
      </c>
      <c r="D118" s="10" t="str">
        <v>응급 저체온 치료 가능 여부</v>
      </c>
    </row>
    <row r="119" spans="2:4" ht="18">
      <c r="B119" s="5" t="str">
        <v>hvecmoayn</v>
      </c>
      <c r="C119" s="6" t="s">
        <v>81</v>
      </c>
      <c r="D119" s="10" t="str">
        <v>응급 인큐베이터 보유 여부</v>
      </c>
    </row>
    <row r="120" spans="2:4" ht="18">
      <c r="B120" s="5" t="str">
        <v>hvhypoayn</v>
      </c>
      <c r="C120" s="6" t="s">
        <v>81</v>
      </c>
      <c r="D120" s="10" t="str">
        <v>응급 혈관조영 장비 보유 여부</v>
      </c>
    </row>
    <row r="121" spans="2:4" ht="18">
      <c r="B121" s="5" t="str">
        <v>hvincuayn</v>
      </c>
      <c r="C121" s="6" t="s">
        <v>81</v>
      </c>
      <c r="D121" s="10" t="str">
        <v>응급 인공호흡기 보유 여부</v>
      </c>
    </row>
    <row r="122" spans="2:4" ht="18">
      <c r="B122" s="5" t="str">
        <v>hvangioayn</v>
      </c>
      <c r="C122" s="6" t="s">
        <v>42</v>
      </c>
      <c r="D122" s="10" t="str">
        <v>의료기관 명칭</v>
      </c>
    </row>
    <row r="123" spans="2:4" ht="18">
      <c r="B123" s="5" t="str">
        <v>hvventiayn</v>
      </c>
      <c r="C123" s="6" t="s">
        <v>81</v>
      </c>
      <c r="D123" s="10" t="str">
        <v>응급 인공호흡기 격리 사용 가능 여부</v>
      </c>
    </row>
    <row r="124" spans="2:4" ht="18">
      <c r="B124" s="5" t="str">
        <v>﻿dutyName</v>
      </c>
      <c r="C124" s="6" t="s">
        <v>42</v>
      </c>
      <c r="D124" s="10" t="s">
        <v>79</v>
      </c>
    </row>
    <row r="125" spans="2:4" ht="18">
      <c r="B125" s="5" t="str">
        <v>hvventisoayn</v>
      </c>
      <c r="C125" s="6" t="s">
        <v>81</v>
      </c>
      <c r="D125" s="10" t="s">
        <v>80</v>
      </c>
    </row>
    <row r="136" spans="2:2">
      <c r="B136" t="s">
        <v>78</v>
      </c>
    </row>
  </sheetData>
  <phoneticPr fontId="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D58D-E02F-A24E-AE72-7FA1F0680A8E}">
  <dimension ref="B3:D9"/>
  <sheetViews>
    <sheetView workbookViewId="0">
      <selection activeCell="L32" sqref="L32"/>
    </sheetView>
  </sheetViews>
  <sheetFormatPr baseColWidth="10" defaultRowHeight="17"/>
  <cols>
    <col min="2" max="2" width="14.83203125" bestFit="1" customWidth="1"/>
    <col min="3" max="3" width="27.5" customWidth="1"/>
  </cols>
  <sheetData>
    <row r="3" spans="2:4" ht="18">
      <c r="B3" s="2" t="s">
        <v>39</v>
      </c>
      <c r="C3" s="3" t="str">
        <f>'Dataset Summary'!A18</f>
        <v>ds_0502</v>
      </c>
    </row>
    <row r="4" spans="2:4" ht="18">
      <c r="B4" s="2" t="s">
        <v>40</v>
      </c>
      <c r="C4" s="3" t="str">
        <f>'Dataset Summary'!B18</f>
        <v>감염성질환(인플루엔자) 의료이용정보</v>
      </c>
    </row>
    <row r="5" spans="2:4" ht="18">
      <c r="B5" s="2" t="s">
        <v>41</v>
      </c>
      <c r="C5" s="4">
        <f>'Dataset Summary'!C18</f>
        <v>4</v>
      </c>
    </row>
    <row r="6" spans="2:4" ht="18">
      <c r="B6" s="2" t="s">
        <v>34</v>
      </c>
      <c r="C6" s="3">
        <f>'Dataset Summary'!D18</f>
        <v>0</v>
      </c>
    </row>
    <row r="9" spans="2:4" ht="18">
      <c r="B9" s="5" t="str" cm="1">
        <f t="array" ref="B9">TRANSPOSE(_xlfn.TEXTSPLIT(C6, ","))</f>
        <v>0</v>
      </c>
      <c r="C9" s="6" t="s">
        <v>43</v>
      </c>
      <c r="D9" s="10" t="e" cm="1">
        <f t="array" ref="D9">TRANSPOSE(_xlfn.TEXTSPLIT(B125, ","))</f>
        <v>#VALUE!</v>
      </c>
    </row>
  </sheetData>
  <phoneticPr fontId="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8603F-72A2-9B46-A517-AC984B3A27D6}">
  <dimension ref="B3:D31"/>
  <sheetViews>
    <sheetView tabSelected="1" workbookViewId="0">
      <selection activeCell="I40" sqref="I40"/>
    </sheetView>
  </sheetViews>
  <sheetFormatPr baseColWidth="10" defaultRowHeight="17"/>
  <cols>
    <col min="2" max="2" width="14.83203125" bestFit="1" customWidth="1"/>
    <col min="3" max="3" width="12.5" customWidth="1"/>
    <col min="4" max="4" width="59.6640625" bestFit="1" customWidth="1"/>
  </cols>
  <sheetData>
    <row r="3" spans="2:4" ht="18">
      <c r="B3" s="2" t="s">
        <v>39</v>
      </c>
      <c r="C3" s="3" t="str">
        <f>'Dataset Summary'!A19</f>
        <v>ds_0503</v>
      </c>
    </row>
    <row r="4" spans="2:4" ht="18">
      <c r="B4" s="2" t="s">
        <v>40</v>
      </c>
      <c r="C4" s="3" t="str">
        <f>'Dataset Summary'!B19</f>
        <v>대기오염 통계</v>
      </c>
    </row>
    <row r="5" spans="2:4" ht="18">
      <c r="B5" s="2" t="s">
        <v>41</v>
      </c>
      <c r="C5" s="4">
        <f>'Dataset Summary'!C19</f>
        <v>2322</v>
      </c>
    </row>
    <row r="6" spans="2:4" ht="18">
      <c r="B6" s="2" t="s">
        <v>34</v>
      </c>
      <c r="C6" s="3" t="str">
        <f>'Dataset Summary'!D19</f>
        <v>coFlag,o3Flag,coGrade,coValue,no2Flag,o3Grade,o3Value,so2Flag,dataTime,no2Grade,no2Value,pm10Flag,sidoName,so2Value,khaiGrade,khaiValue,pm10Grade,pm10Value,stationName,﻿so2Grade</v>
      </c>
    </row>
    <row r="9" spans="2:4" ht="18">
      <c r="B9" s="5" t="str" cm="1">
        <f t="array" ref="B9:B28">TRANSPOSE(_xlfn.TEXTSPLIT(C6, ","))</f>
        <v>coFlag</v>
      </c>
      <c r="C9" s="6" t="s">
        <v>42</v>
      </c>
      <c r="D9" s="10" t="str" cm="1">
        <f t="array" ref="D9:D28">TRANSPOSE(_xlfn.TEXTSPLIT(B31, ","))</f>
        <v>일산화탄소(CO) 측정값의 유효성 또는 상태를 나타내는 플래그</v>
      </c>
    </row>
    <row r="10" spans="2:4" ht="18">
      <c r="B10" s="5" t="str">
        <v>o3Flag</v>
      </c>
      <c r="C10" s="6" t="s">
        <v>42</v>
      </c>
      <c r="D10" s="10" t="str">
        <v>오존(O3) 측정값의 유효성 또는 상태를 나타내는 플래그</v>
      </c>
    </row>
    <row r="11" spans="2:4" ht="18">
      <c r="B11" s="5" t="str">
        <v>coGrade</v>
      </c>
      <c r="C11" s="6" t="s">
        <v>43</v>
      </c>
      <c r="D11" s="10" t="str">
        <v>일산화탄소(CO) 대기질 등급</v>
      </c>
    </row>
    <row r="12" spans="2:4" ht="18">
      <c r="B12" s="5" t="str">
        <v>coValue</v>
      </c>
      <c r="C12" s="6" t="s">
        <v>43</v>
      </c>
      <c r="D12" s="10" t="str">
        <v>일산화탄소(CO) 농도 측정값</v>
      </c>
    </row>
    <row r="13" spans="2:4" ht="18">
      <c r="B13" s="5" t="str">
        <v>no2Flag</v>
      </c>
      <c r="C13" s="6" t="s">
        <v>42</v>
      </c>
      <c r="D13" s="10" t="str">
        <v>이산화질소(NO2) 측정값의 유효성 또는 상태를 나타내는 플래그</v>
      </c>
    </row>
    <row r="14" spans="2:4" ht="18">
      <c r="B14" s="5" t="str">
        <v>o3Grade</v>
      </c>
      <c r="C14" s="6" t="s">
        <v>43</v>
      </c>
      <c r="D14" s="10" t="str">
        <v>오존(O3) 대기질 등급</v>
      </c>
    </row>
    <row r="15" spans="2:4" ht="18">
      <c r="B15" s="5" t="str">
        <v>o3Value</v>
      </c>
      <c r="C15" s="6" t="s">
        <v>43</v>
      </c>
      <c r="D15" s="10" t="str">
        <v>오존(O3) 농도 측정값</v>
      </c>
    </row>
    <row r="16" spans="2:4" ht="18">
      <c r="B16" s="5" t="str">
        <v>so2Flag</v>
      </c>
      <c r="C16" s="6" t="s">
        <v>42</v>
      </c>
      <c r="D16" s="10" t="str">
        <v>아황산가스(SO2) 측정값의 유효성 또는 상태를 나타내는 플래그</v>
      </c>
    </row>
    <row r="17" spans="2:4" ht="18">
      <c r="B17" s="5" t="str">
        <v>dataTime</v>
      </c>
      <c r="C17" s="6" t="s">
        <v>43</v>
      </c>
      <c r="D17" s="10" t="str">
        <v>대기오염 정보의 측정 기준 시각</v>
      </c>
    </row>
    <row r="18" spans="2:4" ht="18">
      <c r="B18" s="5" t="str">
        <v>no2Grade</v>
      </c>
      <c r="C18" s="6" t="s">
        <v>43</v>
      </c>
      <c r="D18" s="10" t="str">
        <v>이산화질소(NO2) 대기질 등급</v>
      </c>
    </row>
    <row r="19" spans="2:4" ht="18">
      <c r="B19" s="5" t="str">
        <v>no2Value</v>
      </c>
      <c r="C19" s="6" t="s">
        <v>43</v>
      </c>
      <c r="D19" s="10" t="str">
        <v>이산화질소(NO2) 농도 측정값</v>
      </c>
    </row>
    <row r="20" spans="2:4" ht="18">
      <c r="B20" s="5" t="str">
        <v>pm10Flag</v>
      </c>
      <c r="C20" s="6" t="s">
        <v>42</v>
      </c>
      <c r="D20" s="10" t="str">
        <v>미세먼지(PM10) 측정값의 유효성 또는 상태를 나타내는 플래그</v>
      </c>
    </row>
    <row r="21" spans="2:4" ht="18">
      <c r="B21" s="5" t="str">
        <v>sidoName</v>
      </c>
      <c r="C21" s="6" t="s">
        <v>42</v>
      </c>
      <c r="D21" s="10" t="str">
        <v>시도 단위의 지역명</v>
      </c>
    </row>
    <row r="22" spans="2:4" ht="18">
      <c r="B22" s="5" t="str">
        <v>so2Value</v>
      </c>
      <c r="C22" s="6" t="s">
        <v>43</v>
      </c>
      <c r="D22" s="10" t="str">
        <v>아황산가스(SO2) 농도 측정값</v>
      </c>
    </row>
    <row r="23" spans="2:4" ht="18">
      <c r="B23" s="5" t="str">
        <v>khaiGrade</v>
      </c>
      <c r="C23" s="6" t="s">
        <v>43</v>
      </c>
      <c r="D23" s="10" t="str">
        <v>아황산가스(SO2) 통합 대기질 등급</v>
      </c>
    </row>
    <row r="24" spans="2:4" ht="18">
      <c r="B24" s="5" t="str">
        <v>khaiValue</v>
      </c>
      <c r="C24" s="6" t="s">
        <v>43</v>
      </c>
      <c r="D24" s="10" t="str">
        <v>통합대기환경지수(KHAI) 값</v>
      </c>
    </row>
    <row r="25" spans="2:4" ht="18">
      <c r="B25" s="5" t="str">
        <v>pm10Grade</v>
      </c>
      <c r="C25" s="6" t="s">
        <v>43</v>
      </c>
      <c r="D25" s="10" t="str">
        <v>미세먼지(PM10) 대기질 등급</v>
      </c>
    </row>
    <row r="26" spans="2:4" ht="18">
      <c r="B26" s="5" t="str">
        <v>pm10Value</v>
      </c>
      <c r="C26" s="6" t="s">
        <v>43</v>
      </c>
      <c r="D26" s="10" t="str">
        <v>미세먼지(PM10) 농도 측정값</v>
      </c>
    </row>
    <row r="27" spans="2:4" ht="18">
      <c r="B27" s="5" t="str">
        <v>stationName</v>
      </c>
      <c r="C27" s="6" t="s">
        <v>42</v>
      </c>
      <c r="D27" s="10" t="str">
        <v>대기질 측정소의 명칭</v>
      </c>
    </row>
    <row r="28" spans="2:4" ht="18">
      <c r="B28" s="5" t="str">
        <v>﻿so2Grade</v>
      </c>
      <c r="C28" s="6" t="s">
        <v>43</v>
      </c>
      <c r="D28" s="10" t="str">
        <v>아황산가스(SO2) 대기질 등급</v>
      </c>
    </row>
    <row r="31" spans="2:4">
      <c r="B31" t="s">
        <v>83</v>
      </c>
    </row>
  </sheetData>
  <phoneticPr fontId="5"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CA037-A695-DA49-BF0C-23B5CFC399A5}">
  <dimension ref="B4:D17"/>
  <sheetViews>
    <sheetView workbookViewId="0">
      <selection activeCell="D14" sqref="B4:D14"/>
    </sheetView>
  </sheetViews>
  <sheetFormatPr baseColWidth="10" defaultRowHeight="17"/>
  <cols>
    <col min="2" max="2" width="14.83203125" bestFit="1" customWidth="1"/>
    <col min="3" max="3" width="42.33203125" bestFit="1" customWidth="1"/>
    <col min="4" max="4" width="47.6640625" bestFit="1" customWidth="1"/>
  </cols>
  <sheetData>
    <row r="4" spans="2:4" ht="18">
      <c r="B4" s="2" t="s">
        <v>39</v>
      </c>
      <c r="C4" s="3" t="str">
        <f>'Dataset Summary'!A20</f>
        <v>ds_0504</v>
      </c>
    </row>
    <row r="5" spans="2:4" ht="18">
      <c r="B5" s="2" t="s">
        <v>40</v>
      </c>
      <c r="C5" s="3" t="str">
        <f>'Dataset Summary'!B20</f>
        <v>국경일/공휴일 정보</v>
      </c>
    </row>
    <row r="6" spans="2:4" ht="18">
      <c r="B6" s="2" t="s">
        <v>41</v>
      </c>
      <c r="C6" s="4">
        <f>'Dataset Summary'!C20</f>
        <v>13</v>
      </c>
    </row>
    <row r="7" spans="2:4" ht="18">
      <c r="B7" s="2" t="s">
        <v>34</v>
      </c>
      <c r="C7" s="3" t="str">
        <f>'Dataset Summary'!D20</f>
        <v>seq,locdate,dateName,isHoliday,﻿dateKind</v>
      </c>
    </row>
    <row r="10" spans="2:4" ht="18">
      <c r="B10" s="5" t="str" cm="1">
        <f t="array" ref="B10:B14">TRANSPOSE(_xlfn.TEXTSPLIT(C7, ","))</f>
        <v>seq</v>
      </c>
      <c r="C10" s="6" t="s">
        <v>43</v>
      </c>
      <c r="D10" s="10" t="str" cm="1">
        <f t="array" ref="D10:D14">TRANSPOSE(_xlfn.TEXTSPLIT(B17, ","))</f>
        <v>데이터의 고유 순번을 나타내는 식별자</v>
      </c>
    </row>
    <row r="11" spans="2:4" ht="18">
      <c r="B11" s="5" t="str">
        <v>locdate</v>
      </c>
      <c r="C11" s="6" t="s">
        <v>43</v>
      </c>
      <c r="D11" s="10" t="str">
        <v>해당 날짜를 나타내는 기준 일자(YYYYMMDD 형식)</v>
      </c>
    </row>
    <row r="12" spans="2:4" ht="18">
      <c r="B12" s="5" t="str">
        <v>dateName</v>
      </c>
      <c r="C12" s="6" t="s">
        <v>42</v>
      </c>
      <c r="D12" s="10" t="str">
        <v>해당 날짜의 명칭(국경일·공휴일 이름 등)</v>
      </c>
    </row>
    <row r="13" spans="2:4" ht="18">
      <c r="B13" s="5" t="str">
        <v>isHoliday</v>
      </c>
      <c r="C13" s="6" t="s">
        <v>81</v>
      </c>
      <c r="D13" s="10" t="str">
        <v>해당 날짜가 공휴일인지 여부를 나타내는 값</v>
      </c>
    </row>
    <row r="14" spans="2:4" ht="18">
      <c r="B14" s="5" t="str">
        <v>﻿dateKind</v>
      </c>
      <c r="C14" s="6" t="s">
        <v>43</v>
      </c>
      <c r="D14" s="10" t="str">
        <v>날짜의 구분 유형(국경일·공휴일·대체공휴일 등)</v>
      </c>
    </row>
    <row r="17" spans="2:2">
      <c r="B17" t="s">
        <v>85</v>
      </c>
    </row>
  </sheetData>
  <phoneticPr fontId="5"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7FF3-D9EF-4E48-9FB3-B082C065C0A0}">
  <dimension ref="B3:D50"/>
  <sheetViews>
    <sheetView workbookViewId="0">
      <selection activeCell="E43" sqref="E43"/>
    </sheetView>
  </sheetViews>
  <sheetFormatPr baseColWidth="10" defaultRowHeight="17"/>
  <cols>
    <col min="2" max="2" width="14.83203125" bestFit="1" customWidth="1"/>
    <col min="3" max="3" width="71" customWidth="1"/>
    <col min="4" max="4" width="50.33203125" customWidth="1"/>
  </cols>
  <sheetData>
    <row r="3" spans="2:4" ht="18">
      <c r="B3" s="2" t="s">
        <v>39</v>
      </c>
      <c r="C3" s="3" t="str">
        <f>'Dataset Summary'!A21</f>
        <v>ds_0505</v>
      </c>
    </row>
    <row r="4" spans="2:4" ht="18">
      <c r="B4" s="2" t="s">
        <v>40</v>
      </c>
      <c r="C4" s="3" t="str">
        <f>'Dataset Summary'!B21</f>
        <v>지점별 종관기상관측(ASOS) 시간자료</v>
      </c>
    </row>
    <row r="5" spans="2:4" ht="18">
      <c r="B5" s="2" t="s">
        <v>41</v>
      </c>
      <c r="C5" s="4">
        <f>'Dataset Summary'!C21</f>
        <v>105</v>
      </c>
    </row>
    <row r="6" spans="2:4" ht="18">
      <c r="B6" s="2" t="s">
        <v>34</v>
      </c>
      <c r="C6" s="3" t="str">
        <f>'Dataset Summary'!D21</f>
        <v>hm,pa,ps,pv,rn,ss,ta,td,ts,vs,wd,ws,dsnw,icsr,rnum,lcsCh,m01Te,m02Te,m03Te,stnId,stnNm,﻿tm,m005Te,dc10Tca,hmQcflg,hr3Fhsc,paQcflg,psQcflg,rnQcflg,ssQcflg,taQcflg,tsQcflg,wdQcflg,wsQcflg,gndSttCd,clfmAbbrCd,dc10LmcsCa,dmstMtphNo</v>
      </c>
    </row>
    <row r="9" spans="2:4" ht="18">
      <c r="B9" s="5" t="str" cm="1">
        <f t="array" ref="B9:B46">TRANSPOSE(_xlfn.TEXTSPLIT(C6, ","))</f>
        <v>hm</v>
      </c>
      <c r="C9" s="6" t="str" cm="1">
        <f t="array" ref="C9:C46">TRANSPOSE(_xlfn.TEXTSPLIT(B49, ","))</f>
        <v>int</v>
      </c>
      <c r="D9" s="10" t="str" cm="1">
        <f t="array" ref="D9:D46">TRANSPOSE(_xlfn.TEXTSPLIT(B50, ","))</f>
        <v>상대습도 값(%)</v>
      </c>
    </row>
    <row r="10" spans="2:4" ht="18">
      <c r="B10" s="5" t="str">
        <v>pa</v>
      </c>
      <c r="C10" s="6" t="str">
        <v>int</v>
      </c>
      <c r="D10" s="10" t="str">
        <v>해면기압 값(hPa)</v>
      </c>
    </row>
    <row r="11" spans="2:4" ht="18">
      <c r="B11" s="5" t="str">
        <v>ps</v>
      </c>
      <c r="C11" s="6" t="str">
        <v>int</v>
      </c>
      <c r="D11" s="10" t="str">
        <v>현지기압 값(hPa)</v>
      </c>
    </row>
    <row r="12" spans="2:4" ht="18">
      <c r="B12" s="5" t="str">
        <v>pv</v>
      </c>
      <c r="C12" s="6" t="str">
        <v>int</v>
      </c>
      <c r="D12" s="10" t="str">
        <v>증기압 값(hPa)</v>
      </c>
    </row>
    <row r="13" spans="2:4" ht="18">
      <c r="B13" s="5" t="str">
        <v>rn</v>
      </c>
      <c r="C13" s="6" t="str">
        <v>int</v>
      </c>
      <c r="D13" s="10" t="str">
        <v>강수량 값(mm)</v>
      </c>
    </row>
    <row r="14" spans="2:4" ht="18">
      <c r="B14" s="5" t="str">
        <v>ss</v>
      </c>
      <c r="C14" s="6" t="str">
        <v>int</v>
      </c>
      <c r="D14" s="10" t="str">
        <v>일조시간 값(시간)</v>
      </c>
    </row>
    <row r="15" spans="2:4" ht="18">
      <c r="B15" s="5" t="str">
        <v>ta</v>
      </c>
      <c r="C15" s="6" t="str">
        <v>int</v>
      </c>
      <c r="D15" s="10" t="str">
        <v>기온 값(℃)</v>
      </c>
    </row>
    <row r="16" spans="2:4" ht="18">
      <c r="B16" s="5" t="str">
        <v>td</v>
      </c>
      <c r="C16" s="6" t="str">
        <v>int</v>
      </c>
      <c r="D16" s="10" t="str">
        <v>이슬점온도 값(℃)</v>
      </c>
    </row>
    <row r="17" spans="2:4" ht="18">
      <c r="B17" s="5" t="str">
        <v>ts</v>
      </c>
      <c r="C17" s="6" t="str">
        <v>int</v>
      </c>
      <c r="D17" s="10" t="str">
        <v>지면온도 값(℃)</v>
      </c>
    </row>
    <row r="18" spans="2:4" ht="18">
      <c r="B18" s="5" t="str">
        <v>vs</v>
      </c>
      <c r="C18" s="6" t="str">
        <v>int</v>
      </c>
      <c r="D18" s="10" t="str">
        <v>시정 값(m)</v>
      </c>
    </row>
    <row r="19" spans="2:4" ht="18">
      <c r="B19" s="5" t="str">
        <v>wd</v>
      </c>
      <c r="C19" s="6" t="str">
        <v>int</v>
      </c>
      <c r="D19" s="10" t="str">
        <v>풍향 값(도)</v>
      </c>
    </row>
    <row r="20" spans="2:4" ht="18">
      <c r="B20" s="5" t="str">
        <v>ws</v>
      </c>
      <c r="C20" s="6" t="str">
        <v>int</v>
      </c>
      <c r="D20" s="10" t="str">
        <v>풍속 값(m/s)</v>
      </c>
    </row>
    <row r="21" spans="2:4" ht="18">
      <c r="B21" s="5" t="str">
        <v>dsnw</v>
      </c>
      <c r="C21" s="6" t="str">
        <v>int</v>
      </c>
      <c r="D21" s="10" t="str">
        <v>적설량 값(cm)</v>
      </c>
    </row>
    <row r="22" spans="2:4" ht="18">
      <c r="B22" s="5" t="str">
        <v>icsr</v>
      </c>
      <c r="C22" s="6" t="str">
        <v>int</v>
      </c>
      <c r="D22" s="10" t="str">
        <v>일사량 값(MJ/㎡)</v>
      </c>
    </row>
    <row r="23" spans="2:4" ht="18">
      <c r="B23" s="5" t="str">
        <v>rnum</v>
      </c>
      <c r="C23" s="6" t="str">
        <v>int</v>
      </c>
      <c r="D23" s="10" t="str">
        <v>데이터 순번</v>
      </c>
    </row>
    <row r="24" spans="2:4" ht="18">
      <c r="B24" s="5" t="str">
        <v>lcsCh</v>
      </c>
      <c r="C24" s="6" t="str">
        <v>string</v>
      </c>
      <c r="D24" s="10" t="str">
        <v>저층운량 변화 코드</v>
      </c>
    </row>
    <row r="25" spans="2:4" ht="18">
      <c r="B25" s="5" t="str">
        <v>m01Te</v>
      </c>
      <c r="C25" s="6" t="str">
        <v>int</v>
      </c>
      <c r="D25" s="10" t="str">
        <v>01시 기온 값</v>
      </c>
    </row>
    <row r="26" spans="2:4" ht="18">
      <c r="B26" s="5" t="str">
        <v>m02Te</v>
      </c>
      <c r="C26" s="6" t="str">
        <v>int</v>
      </c>
      <c r="D26" s="10" t="str">
        <v>02시 기온 값</v>
      </c>
    </row>
    <row r="27" spans="2:4" ht="18">
      <c r="B27" s="5" t="str">
        <v>m03Te</v>
      </c>
      <c r="C27" s="6" t="str">
        <v>int</v>
      </c>
      <c r="D27" s="10" t="str">
        <v>03시 기온 값</v>
      </c>
    </row>
    <row r="28" spans="2:4" ht="18">
      <c r="B28" s="5" t="str">
        <v>stnId</v>
      </c>
      <c r="C28" s="6" t="str">
        <v>string</v>
      </c>
      <c r="D28" s="10" t="str">
        <v>기상관측소 ID</v>
      </c>
    </row>
    <row r="29" spans="2:4" ht="18">
      <c r="B29" s="5" t="str">
        <v>stnNm</v>
      </c>
      <c r="C29" s="6" t="str">
        <v>string</v>
      </c>
      <c r="D29" s="10" t="str">
        <v>기상관측소 명칭</v>
      </c>
    </row>
    <row r="30" spans="2:4" ht="18">
      <c r="B30" s="5" t="str">
        <v>﻿tm</v>
      </c>
      <c r="C30" s="6" t="str">
        <v>string</v>
      </c>
      <c r="D30" s="10" t="str">
        <v>관측 시각(YYYYMMDDHHMI)</v>
      </c>
    </row>
    <row r="31" spans="2:4" ht="18">
      <c r="B31" s="5" t="str">
        <v>m005Te</v>
      </c>
      <c r="C31" s="6" t="str">
        <v>int</v>
      </c>
      <c r="D31" s="10" t="str">
        <v>05시 기온 값</v>
      </c>
    </row>
    <row r="32" spans="2:4" ht="18">
      <c r="B32" s="5" t="str">
        <v>dc10Tca</v>
      </c>
      <c r="C32" s="6" t="str">
        <v>int</v>
      </c>
      <c r="D32" s="10" t="str">
        <v>10분 누적 강수량</v>
      </c>
    </row>
    <row r="33" spans="2:4" ht="18">
      <c r="B33" s="5" t="str">
        <v>hmQcflg</v>
      </c>
      <c r="C33" s="6" t="str">
        <v>int</v>
      </c>
      <c r="D33" s="10" t="str">
        <v>상대습도 품질관리 플래그</v>
      </c>
    </row>
    <row r="34" spans="2:4" ht="18">
      <c r="B34" s="5" t="str">
        <v>hr3Fhsc</v>
      </c>
      <c r="C34" s="6" t="str">
        <v>int</v>
      </c>
      <c r="D34" s="10" t="str">
        <v>3시간 신적설 값</v>
      </c>
    </row>
    <row r="35" spans="2:4" ht="18">
      <c r="B35" s="5" t="str">
        <v>paQcflg</v>
      </c>
      <c r="C35" s="6" t="str">
        <v>int</v>
      </c>
      <c r="D35" s="10" t="str">
        <v>해면기압 품질관리 플래그</v>
      </c>
    </row>
    <row r="36" spans="2:4" ht="18">
      <c r="B36" s="5" t="str">
        <v>psQcflg</v>
      </c>
      <c r="C36" s="6" t="str">
        <v>int</v>
      </c>
      <c r="D36" s="10" t="str">
        <v>현지기압 품질관리 플래그</v>
      </c>
    </row>
    <row r="37" spans="2:4" ht="18">
      <c r="B37" s="5" t="str">
        <v>rnQcflg</v>
      </c>
      <c r="C37" s="6" t="str">
        <v>int</v>
      </c>
      <c r="D37" s="10" t="str">
        <v>강수량 품질관리 플래그</v>
      </c>
    </row>
    <row r="38" spans="2:4" ht="18">
      <c r="B38" s="5" t="str">
        <v>ssQcflg</v>
      </c>
      <c r="C38" s="6" t="str">
        <v>int</v>
      </c>
      <c r="D38" s="10" t="str">
        <v>일조시간 품질관리 플래그</v>
      </c>
    </row>
    <row r="39" spans="2:4" ht="18">
      <c r="B39" s="5" t="str">
        <v>taQcflg</v>
      </c>
      <c r="C39" s="6" t="str">
        <v>int</v>
      </c>
      <c r="D39" s="10" t="str">
        <v>기온 품질관리 플래그</v>
      </c>
    </row>
    <row r="40" spans="2:4" ht="18">
      <c r="B40" s="5" t="str">
        <v>tsQcflg</v>
      </c>
      <c r="C40" s="6" t="str">
        <v>int</v>
      </c>
      <c r="D40" s="10" t="str">
        <v>지면온도 품질관리 플래그</v>
      </c>
    </row>
    <row r="41" spans="2:4" ht="18">
      <c r="B41" s="5" t="str">
        <v>wdQcflg</v>
      </c>
      <c r="C41" s="6" t="str">
        <v>int</v>
      </c>
      <c r="D41" s="10" t="str">
        <v>풍향 품질관리 플래그</v>
      </c>
    </row>
    <row r="42" spans="2:4" ht="18">
      <c r="B42" s="5" t="str">
        <v>wsQcflg</v>
      </c>
      <c r="C42" s="6" t="str">
        <v>int</v>
      </c>
      <c r="D42" s="10" t="str">
        <v>풍속 품질관리 플래그</v>
      </c>
    </row>
    <row r="43" spans="2:4" ht="18">
      <c r="B43" s="5" t="str">
        <v>gndSttCd</v>
      </c>
      <c r="C43" s="6" t="str">
        <v>int</v>
      </c>
      <c r="D43" s="10" t="str">
        <v>지면상태 코드</v>
      </c>
    </row>
    <row r="44" spans="2:4" ht="18">
      <c r="B44" s="5" t="str">
        <v>clfmAbbrCd</v>
      </c>
      <c r="C44" s="6" t="str">
        <v>string</v>
      </c>
      <c r="D44" s="10" t="str">
        <v>운형 약어 코드</v>
      </c>
    </row>
    <row r="45" spans="2:4" ht="18">
      <c r="B45" s="5" t="str">
        <v>dc10LmcsCa</v>
      </c>
      <c r="C45" s="6" t="str">
        <v>string</v>
      </c>
      <c r="D45" s="10" t="str">
        <v>10분 최저운고 구분값</v>
      </c>
    </row>
    <row r="46" spans="2:4" ht="18">
      <c r="B46" s="5" t="str">
        <v>dmstMtphNo</v>
      </c>
      <c r="C46" s="6" t="str">
        <v>int</v>
      </c>
      <c r="D46" s="10" t="str">
        <v>국내 기상현상 번호</v>
      </c>
    </row>
    <row r="49" spans="2:2">
      <c r="B49" t="s">
        <v>88</v>
      </c>
    </row>
    <row r="50" spans="2:2">
      <c r="B50" t="s">
        <v>87</v>
      </c>
    </row>
  </sheetData>
  <phoneticPr fontId="5"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D79A-0608-6946-818E-2D5744A21BDB}">
  <dimension ref="B3:D23"/>
  <sheetViews>
    <sheetView workbookViewId="0">
      <selection activeCell="B3" sqref="B3:D18"/>
    </sheetView>
  </sheetViews>
  <sheetFormatPr baseColWidth="10" defaultRowHeight="17"/>
  <cols>
    <col min="2" max="2" width="14.83203125" bestFit="1" customWidth="1"/>
    <col min="4" max="4" width="51.5" bestFit="1" customWidth="1"/>
  </cols>
  <sheetData>
    <row r="3" spans="2:4" ht="18">
      <c r="B3" s="2" t="s">
        <v>39</v>
      </c>
      <c r="C3" s="3" t="str">
        <f>'Dataset Summary'!A22</f>
        <v>ds_0506</v>
      </c>
    </row>
    <row r="4" spans="2:4" ht="18">
      <c r="B4" s="2" t="s">
        <v>40</v>
      </c>
      <c r="C4" s="3" t="str">
        <f>'Dataset Summary'!B22</f>
        <v>의약품사용정보</v>
      </c>
    </row>
    <row r="5" spans="2:4" ht="18">
      <c r="B5" s="2" t="s">
        <v>41</v>
      </c>
      <c r="C5" s="4">
        <f>'Dataset Summary'!C22</f>
        <v>5</v>
      </c>
    </row>
    <row r="6" spans="2:4" ht="18">
      <c r="B6" s="2" t="s">
        <v>34</v>
      </c>
      <c r="C6" s="3" t="str">
        <f>'Dataset Summary'!D22</f>
        <v>diagYm,sgguCd,recuClCd,sgguCdNm,sidoCdNm,insupTpCd,totUseQty,msupUseAmt,atcStep3CdNm,﻿atcStep3Cd</v>
      </c>
    </row>
    <row r="9" spans="2:4" ht="18">
      <c r="B9" s="5" t="str" cm="1">
        <f t="array" ref="B9:B18">TRANSPOSE(_xlfn.TEXTSPLIT(C6, ","))</f>
        <v>diagYm</v>
      </c>
      <c r="C9" s="6" t="str" cm="1">
        <f t="array" ref="C9:C18">TRANSPOSE(_xlfn.TEXTSPLIT(B22, ","))</f>
        <v>string</v>
      </c>
      <c r="D9" s="10" t="str" cm="1">
        <f t="array" ref="D9:D18">TRANSPOSE(_xlfn.TEXTSPLIT(B23, ","))</f>
        <v>진료가 발생한 기준 연월을 나타내는 값(YYYYMM 형식)</v>
      </c>
    </row>
    <row r="10" spans="2:4" ht="18">
      <c r="B10" s="5" t="str">
        <v>sgguCd</v>
      </c>
      <c r="C10" s="6" t="str">
        <v>string</v>
      </c>
      <c r="D10" s="10" t="str">
        <v>시군구를 식별하기 위한 행정구역 코드</v>
      </c>
    </row>
    <row r="11" spans="2:4" ht="18">
      <c r="B11" s="5" t="str">
        <v>recuClCd</v>
      </c>
      <c r="C11" s="6" t="str">
        <v>string</v>
      </c>
      <c r="D11" s="10" t="str">
        <v>요양기관의 진료 구분을 나타내는 코드</v>
      </c>
    </row>
    <row r="12" spans="2:4" ht="18">
      <c r="B12" s="5" t="str">
        <v>sgguCdNm</v>
      </c>
      <c r="C12" s="6" t="str">
        <v>string</v>
      </c>
      <c r="D12" s="10" t="str">
        <v>시군구 행정구역의 명칭</v>
      </c>
    </row>
    <row r="13" spans="2:4" ht="18">
      <c r="B13" s="5" t="str">
        <v>sidoCdNm</v>
      </c>
      <c r="C13" s="6" t="str">
        <v>string</v>
      </c>
      <c r="D13" s="10" t="str">
        <v>시도 행정구역의 명칭</v>
      </c>
    </row>
    <row r="14" spans="2:4" ht="18">
      <c r="B14" s="5" t="str">
        <v>insupTpCd</v>
      </c>
      <c r="C14" s="6" t="str">
        <v>string</v>
      </c>
      <c r="D14" s="10" t="str">
        <v>보험자 구분을 나타내는 코드</v>
      </c>
    </row>
    <row r="15" spans="2:4" ht="18">
      <c r="B15" s="5" t="str">
        <v>totUseQty</v>
      </c>
      <c r="C15" s="6" t="str">
        <v>int</v>
      </c>
      <c r="D15" s="10" t="str">
        <v>해당 의약품의 총 사용 수량</v>
      </c>
    </row>
    <row r="16" spans="2:4" ht="18">
      <c r="B16" s="5" t="str">
        <v>msupUseAmt</v>
      </c>
      <c r="C16" s="6" t="str">
        <v>int</v>
      </c>
      <c r="D16" s="10" t="str">
        <v>해당 의약품의 총 사용 금액</v>
      </c>
    </row>
    <row r="17" spans="2:4" ht="18">
      <c r="B17" s="5" t="str">
        <v>atcStep3CdNm</v>
      </c>
      <c r="C17" s="6" t="str">
        <v>string</v>
      </c>
      <c r="D17" s="10" t="str">
        <v>ATC 3단계 기준 의약품 분류 명칭</v>
      </c>
    </row>
    <row r="18" spans="2:4" ht="18">
      <c r="B18" s="5" t="str">
        <v>﻿atcStep3Cd</v>
      </c>
      <c r="C18" s="6" t="str">
        <v>string</v>
      </c>
      <c r="D18" s="10" t="str">
        <v>ATC 3단계 기준 의약품 분류 코드</v>
      </c>
    </row>
    <row r="22" spans="2:4">
      <c r="B22" t="s">
        <v>90</v>
      </c>
    </row>
    <row r="23" spans="2:4">
      <c r="B23" t="s">
        <v>89</v>
      </c>
    </row>
  </sheetData>
  <phoneticPr fontId="5"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ACB6E-E97C-6648-8C6C-4F722F831924}">
  <dimension ref="B4:P239"/>
  <sheetViews>
    <sheetView workbookViewId="0">
      <selection activeCell="B4" sqref="B4:D16"/>
    </sheetView>
  </sheetViews>
  <sheetFormatPr baseColWidth="10" defaultRowHeight="17"/>
  <cols>
    <col min="2" max="2" width="47.1640625" bestFit="1" customWidth="1"/>
    <col min="3" max="3" width="49.83203125" customWidth="1"/>
    <col min="4" max="4" width="47.83203125" customWidth="1"/>
  </cols>
  <sheetData>
    <row r="4" spans="2:16" ht="18">
      <c r="B4" s="2" t="s">
        <v>39</v>
      </c>
      <c r="C4" s="3" t="str">
        <f>'Dataset Summary'!A23</f>
        <v>ds_0507</v>
      </c>
    </row>
    <row r="5" spans="2:16" ht="18">
      <c r="B5" s="2" t="s">
        <v>40</v>
      </c>
      <c r="C5" s="3" t="str">
        <f>'Dataset Summary'!B23</f>
        <v>인플루엔자 시군구별 국가예방접종 현황</v>
      </c>
    </row>
    <row r="6" spans="2:16" ht="18">
      <c r="B6" s="2" t="s">
        <v>41</v>
      </c>
      <c r="C6" s="4">
        <f>'Dataset Summary'!C23</f>
        <v>1608</v>
      </c>
    </row>
    <row r="7" spans="2:16" ht="18">
      <c r="B7" s="2" t="s">
        <v>34</v>
      </c>
      <c r="C7" s="3" t="str">
        <f>'Dataset Summary'!D23</f>
        <v>시군구명,﻿시도명,2016-2017절기 어린이 남성 인구수,2016-2017절기 어린이 남성 접종률,2016-2017절기 어린이 여성 인구수,2016-2017절기 어린이 여성 접종률,2016-2017절기 어린이 전체 인구수,2016-2017절기 어린이 전체 접종률,2017-2018절기 어린이 남성 인구수,2017-2018절기 어린이 남성 접종률,2017-2018절기 어린이 여성 인구수,2017-2018절기 어린이 여성 접종률,2017-2018절기 어린이 전체 인구수,2017-2018절기 어린이 전체 접종률,2018-2019절기 어린이 남성 인구수,2018-2019절기 어린이 남성 접종률,2018-2019절기 어린이 여성 인구수,2018-2019절기 어린이 여성 접종률,2018-2019절기 어린이 전체 인구수,2018-2019절기 어린이 전체 접종률,2019-2020절기 어린이 남성 인구수,2019-2020절기 어린이 남성 접종률,2019-2020절기 어린이 여성 인구수,2019-2020절기 어린이 여성 접종률,2019-2020절기 어린이 전체 인구수,2019-2020절기 어린이 전체 접종률,2020-2021절기 어린이 남성 인구수,2020-2021절기 어린이 남성 접종률,2020-2021절기 어린이 여성 인구수,2020-2021절기 어린이 여성 접종률,2020-2021절기 어린이 전체 인구수,2020-2021절기 어린이 전체 접종률,2021-2022절기 어린이 남성 인구수,2021-2022절기 어린이 남성 접종률,2021-2022절기 어린이 여성 인구수,2021-2022절기 어린이 여성 접종률,2021-2022절기 어린이 전체 인구수,2021-2022절기 어린이 전체 접종률,2022-2023절기 어린이 남성 인구수,2022-2023절기 어린이 남성 접종률,2022-2023절기 어린이 여성 인구수,2022-2023절기 어린이 여성 접종률,2022-2023절기 어린이 전체 인구수,2022-2023절기 어린이 전체 접종률,2023-2024절기 어린이 남성 인구수,2023-2024절기 어린이 남성 접종률,2023-2024절기 어린이 여성 인구수,2023-2024절기 어린이 여성 접종률,2023-2024절기 어린이 전체 인구수,2023-2024절기 어린이 전체 접종률,2015-2016절기 65세 이상 남성 인구수,2015-2016절기 65세 이상 남성 접종률,2015-2016절기 65세 이상 여성 인구수,2015-2016절기 65세 이상 여성 접종률,2015-2016절기 65세 이상 전체 인구수,2015-2016절기 65세 이상 전체 접종률,2016-2017절기 65세 이상 남성 인구수,2016-2017절기 65세 이상 남성 접종률,2016-2017절기 65세 이상 여성 인구수,2016-2017절기 65세 이상 여성 접종률,2016-2017절기 65세 이상 전체 인구수,2016-2017절기 65세 이상 전체 접종률,2017-2018절기 65세 이상 남성 인구수,2017-2018절기 65세 이상 남성 접종률,2017-2018절기 65세 이상 여성 인구수,2017-2018절기 65세 이상 여성 접종률,2017-2018절기 65세 이상 전체 인구수,2017-2018절기 65세 이상 전체 접종률,2018-2019절기 65세 이상 남성 인구수,2018-2019절기 65세 이상 남성 접종률,2018-2019절기 65세 이상 여성 인구수,2018-2019절기 65세 이상 여성 접종률,2018-2019절기 65세 이상 전체 인구수,2018-2019절기 65세 이상 전체 접종률,2019-2020절기 65세 이상 남성 인구수,2019-2020절기 65세 이상 남성 접종률,2019-2020절기 65세 이상 여성 인구수,2019-2020절기 65세 이상 여성 접종률,2019-2020절기 65세 이상 전체 인구수,2019-2020절기 65세 이상 전체 접종률,2020-2021절기 65세 이상 남성 인구수,2020-2021절기 65세 이상 남성 접종률,2020-2021절기 65세 이상 여성 인구수,2020-2021절기 65세 이상 여성 접종률,2020-2021절기 65세 이상 전체 인구수,2020-2021절기 65세 이상 전체 접종률,2021-2022절기 65세 이상 남성 인구수,2021-2022절기 65세 이상 남성 접종률,2021-2022절기 65세 이상 여성 인구수,2021-2022절기 65세 이상 여성 접종률,2021-2022절기 65세 이상 전체 인구수,2021-2022절기 65세 이상 전체 접종률,2022-2023절기 65세 이상 남성 인구수,2022-2023절기 65세 이상 남성 접종률,2022-2023절기 65세 이상 여성 인구수,2022-2023절기 65세 이상 여성 접종률,2022-2023절기 65세 이상 전체 인구수,2022-2023절기 65세 이상 전체 접종률,2023-2024절기 65세 이상 남성 인구수,2023-2024절기 65세 이상 남성 접종률,2023-2024절기 65세 이상 여성 인구수,2023-2024절기 65세 이상 여성 접종률,2023-2024절기 65세 이상 전체 인구수,2023-2024절기 65세 이상 전체 접종률,2019-2020절기 임신부 보건소 접종자수,2020-2021절기 임신부 보건소 접종자수,2021-2022절기 임신부 보건소 접종자수,2022-2023절기 임신부 보건소 접종자수,2023-2024절기 임신부 보건소 접종자수,2019-2020절기 임신부 의료기관 접종자수,2020-2021절기 임신부 의료기관 접종자수,2021-2022절기 임신부 의료기관 접종자수,2022-2023절기 임신부 의료기관 접종자수,2023-2024절기 임신부 의료기관 접종자수,2016-2017절기 어린이 남성 보건소 접종자수,2016-2017절기 어린이 여성 보건소 접종자수,2017-2018절기 어린이 남성 보건소 접종자수,2017-2018절기 어린이 여성 보건소 접종자수,2018-2019절기 어린이 남성 보건소 접종자수,2018-2019절기 어린이 여성 보건소 접종자수,2019-2020절기 어린이 남성 보건소 접종자수,2019-2020절기 어린이 여성 보건소 접종자수,2020-2021절기 어린이 남성 보건소 접종자수,2020-2021절기 어린이 여성 보건소 접종자수,2021-2022절기 어린이 남성 보건소 접종자수,2021-2022절기 어린이 여성 보건소 접종자수,2022-2023절기 어린이 남성 보건소 접종자수,2022-2023절기 어린이 여성 보건소 접종자수,2023-2024절기 어린이 남성 보건소 접종자수,2023-2024절기 어린이 여성 보건소 접종자수,2015-2016절기 65세 이상 남성 보건소 접종자수,2015-2016절기 65세 이상 여성 보건소 접종자수,2016-2017절기 65세 이상 남성 보건소 접종자수,2016-2017절기 65세 이상 여성 보건소 접종자수,2016-2017절기 어린이 남성 의료기관 접종자수,2016-2017절기 어린이 여성 의료기관 접종자수,2017-2018절기 65세 이상 남성 보건소 접종자수,2017-2018절기 65세 이상 여성 보건소 접종자수,2017-2018절기 어린이 남성 의료기관 접종자수,2017-2018절기 어린이 여성 의료기관 접종자수,2018-2019절기 65세 이상 남성 보건소 접종자수,2018-2019절기 65세 이상 여성 보건소 접종자수,2018-2019절기 어린이 남성 의료기관 접종자수,2018-2019절기 어린이 여성 의료기관 접종자수,2019-2020절기 65세 이상 남성 보건소 접종자수,2019-2020절기 65세 이상 여성 보건소 접종자수,2019-2020절기 어린이 남성 의료기관 접종자수,2019-2020절기 어린이 여성 의료기관 접종자수,2020-2021절기 65세 이상 남성 보건소 접종자수,2020-2021절기 65세 이상 여성 보건소 접종자수,2020-2021절기 어린이 남성 의료기관 접종자수,2020-2021절기 어린이 여성 의료기관 접종자수,2021-2022절기 65세 이상 남성 보건소 접종자수,2021-2022절기 65세 이상 여성 보건소 접종자수,2021-2022절기 어린이 남성 의료기관 접종자수,2021-2022절기 어린이 여성 의료기관 접종자수,2022-2023절기 65세 이상 남성 보건소 접종자수,2022-2023절기 65세 이상 여성 보건소 접종자수,2022-2023절기 어린이 남성 의료기관 접종자수,2022-2023절기 어린이 여성 의료기관 접종자수,2023-2024절기 65세 이상 남성 보건소 접종자수,2023-2024절기 65세 이상 여성 보건소 접종자수,2023-2024절기 어린이 남성 의료기관 접종자수,2023-2024절기 어린이 여성 의료기관 접종자수,2015-2016절기 65세 이상 남성 의료기관 접종자수,2015-2016절기 65세 이상 여성 의료기관 접종자수,2016-2017절기 65세 이상 남성 의료기관 접종자수,2016-2017절기 65세 이상 여성 의료기관 접종자수,2017-2018절기 65세 이상 남성 의료기관 접종자수,2017-2018절기 65세 이상 여성 의료기관 접종자수,2018-2019절기 65세 이상 남성 의료기관 접종자수,2018-2019절기 65세 이상 여성 의료기관 접종자수,2019-2020절기 65세 이상 남성 의료기관 접종자수,2019-2020절기 65세 이상 여성 의료기관 접종자수,2020-2021절기 65세 이상 남성 의료기관 접종자수,2020-2021절기 65세 이상 여성 의료기관 접종자수,2021-2022절기 65세 이상 남성 의료기관 접종자수,2021-2022절기 65세 이상 여성 의료기관 접종자수,2022-2023절기 65세 이상 남성 의료기관 접종자수,2022-2023절기 65세 이상 여성 의료기관 접종자수,2023-2024절기 65세 이상 남성 의료기관 접종자수,2023-2024절기 65세 이상 여성 의료기관 접종자수</v>
      </c>
    </row>
    <row r="10" spans="2:16" ht="18">
      <c r="B10" s="5" t="str" cm="1">
        <f t="array" ref="B10:B191">TRANSPOSE(_xlfn.TEXTSPLIT(C7, ","))</f>
        <v>시군구명</v>
      </c>
      <c r="C10" s="6" t="str" cm="1">
        <f t="array" ref="C10:C239">TRANSPOSE(_xlfn.TEXTSPLIT(P12, ","))</f>
        <v>string</v>
      </c>
      <c r="D10" s="10" t="str" cm="1">
        <f t="array" ref="D10:D191">TRANSPOSE(_xlfn.TEXTSPLIT(P10, ","))</f>
        <v>시군구 단위의 행정구역 명칭</v>
      </c>
      <c r="P10" t="s">
        <v>92</v>
      </c>
    </row>
    <row r="11" spans="2:16" ht="18">
      <c r="B11" s="5" t="str">
        <v>﻿시도명</v>
      </c>
      <c r="C11" s="6" t="str">
        <v>string</v>
      </c>
      <c r="D11" s="10" t="str">
        <v>시도 단위의 행정구역 명칭</v>
      </c>
    </row>
    <row r="12" spans="2:16" ht="18" customHeight="1">
      <c r="B12" s="5" t="str">
        <v>2016-2017절기 어린이 남성 인구수</v>
      </c>
      <c r="C12" s="6" t="str">
        <v xml:space="preserve">
int</v>
      </c>
      <c r="D12" s="10" t="str">
        <v>2016-2017절기 어린이 남성 인구 수</v>
      </c>
      <c r="P12" s="8" t="s">
        <v>93</v>
      </c>
    </row>
    <row r="13" spans="2:16" ht="18">
      <c r="B13" s="5" t="str">
        <v>2016-2017절기 어린이 남성 접종률</v>
      </c>
      <c r="C13" s="6" t="str">
        <v>float</v>
      </c>
      <c r="D13" s="10" t="str">
        <v>2016-2017절기 어린이 남성 인구 대비 예방접종률</v>
      </c>
    </row>
    <row r="14" spans="2:16" ht="18">
      <c r="B14" s="5" t="str">
        <v>2016-2017절기 어린이 여성 인구수</v>
      </c>
      <c r="C14" s="6" t="str">
        <v>int</v>
      </c>
      <c r="D14" s="10" t="str">
        <v>2016-2017절기 어린이 여성 인구 수</v>
      </c>
    </row>
    <row r="15" spans="2:16" ht="18">
      <c r="B15" s="5" t="str">
        <v>2016-2017절기 어린이 여성 접종률</v>
      </c>
      <c r="C15" s="6" t="str">
        <v>float</v>
      </c>
      <c r="D15" s="10" t="str">
        <v>2016-2017절기 어린이 여성 인구 대비 예방접종률</v>
      </c>
    </row>
    <row r="16" spans="2:16" ht="18">
      <c r="B16" s="5" t="str">
        <v>2016-2017절기 어린이 전체 인구수</v>
      </c>
      <c r="C16" s="6" t="str">
        <v>int</v>
      </c>
      <c r="D16" s="10" t="str">
        <v>2016-2017절기 어린이 전체 인구 수</v>
      </c>
    </row>
    <row r="17" spans="2:4" ht="18">
      <c r="B17" s="5" t="str">
        <v>2016-2017절기 어린이 전체 접종률</v>
      </c>
      <c r="C17" s="6" t="str">
        <v>float</v>
      </c>
      <c r="D17" s="10" t="str">
        <v>2016-2017절기 어린이 전체 인구 대비 예방접종률</v>
      </c>
    </row>
    <row r="18" spans="2:4" ht="18">
      <c r="B18" s="5" t="str">
        <v>2017-2018절기 어린이 남성 인구수</v>
      </c>
      <c r="C18" s="6" t="str">
        <v xml:space="preserve">
int</v>
      </c>
      <c r="D18" s="10" t="str">
        <v>2017-2018절기 어린이 남성 인구 수</v>
      </c>
    </row>
    <row r="19" spans="2:4" ht="18">
      <c r="B19" s="5" t="str">
        <v>2017-2018절기 어린이 남성 접종률</v>
      </c>
      <c r="C19" s="6" t="str">
        <v>float</v>
      </c>
      <c r="D19" s="10" t="str">
        <v>2017-2018절기 어린이 남성 인구 대비 예방접종률</v>
      </c>
    </row>
    <row r="20" spans="2:4" ht="18">
      <c r="B20" s="5" t="str">
        <v>2017-2018절기 어린이 여성 인구수</v>
      </c>
      <c r="C20" s="6" t="str">
        <v>int</v>
      </c>
      <c r="D20" s="10" t="str">
        <v>2017-2018절기 어린이 여성 인구 수</v>
      </c>
    </row>
    <row r="21" spans="2:4" ht="18">
      <c r="B21" s="5" t="str">
        <v>2017-2018절기 어린이 여성 접종률</v>
      </c>
      <c r="C21" s="6" t="str">
        <v>float</v>
      </c>
      <c r="D21" s="10" t="str">
        <v>2017-2018절기 어린이 여성 인구 대비 예방접종률</v>
      </c>
    </row>
    <row r="22" spans="2:4" ht="18">
      <c r="B22" s="5" t="str">
        <v>2017-2018절기 어린이 전체 인구수</v>
      </c>
      <c r="C22" s="6" t="str">
        <v>int</v>
      </c>
      <c r="D22" s="10" t="str">
        <v>2017-2018절기 어린이 전체 인구 수</v>
      </c>
    </row>
    <row r="23" spans="2:4" ht="18">
      <c r="B23" s="5" t="str">
        <v>2017-2018절기 어린이 전체 접종률</v>
      </c>
      <c r="C23" s="6" t="str">
        <v>float</v>
      </c>
      <c r="D23" s="10" t="str">
        <v>2017-2018절기 어린이 전체 인구 대비 예방접종률</v>
      </c>
    </row>
    <row r="24" spans="2:4" ht="18">
      <c r="B24" s="5" t="str">
        <v>2018-2019절기 어린이 남성 인구수</v>
      </c>
      <c r="C24" s="6" t="str">
        <v xml:space="preserve">
int</v>
      </c>
      <c r="D24" s="10" t="str">
        <v>2018-2019절기 어린이 남성 인구 수</v>
      </c>
    </row>
    <row r="25" spans="2:4" ht="18">
      <c r="B25" s="5" t="str">
        <v>2018-2019절기 어린이 남성 접종률</v>
      </c>
      <c r="C25" s="6" t="str">
        <v>float</v>
      </c>
      <c r="D25" s="10" t="str">
        <v>2018-2019절기 어린이 남성 인구 대비 예방접종률</v>
      </c>
    </row>
    <row r="26" spans="2:4" ht="18">
      <c r="B26" s="5" t="str">
        <v>2018-2019절기 어린이 여성 인구수</v>
      </c>
      <c r="C26" s="6" t="str">
        <v>int</v>
      </c>
      <c r="D26" s="10" t="str">
        <v>2018-2019절기 어린이 여성 인구 수</v>
      </c>
    </row>
    <row r="27" spans="2:4" ht="18">
      <c r="B27" s="5" t="str">
        <v>2018-2019절기 어린이 여성 접종률</v>
      </c>
      <c r="C27" s="6" t="str">
        <v>float</v>
      </c>
      <c r="D27" s="10" t="str">
        <v>2018-2019절기 어린이 여성 인구 대비 예방접종률</v>
      </c>
    </row>
    <row r="28" spans="2:4" ht="18">
      <c r="B28" s="5" t="str">
        <v>2018-2019절기 어린이 전체 인구수</v>
      </c>
      <c r="C28" s="6" t="str">
        <v>int</v>
      </c>
      <c r="D28" s="10" t="str">
        <v>2018-2019절기 어린이 전체 인구 수</v>
      </c>
    </row>
    <row r="29" spans="2:4" ht="18">
      <c r="B29" s="5" t="str">
        <v>2018-2019절기 어린이 전체 접종률</v>
      </c>
      <c r="C29" s="6" t="str">
        <v>float</v>
      </c>
      <c r="D29" s="10" t="str">
        <v>2018-2019절기 어린이 전체 인구 대비 예방접종률</v>
      </c>
    </row>
    <row r="30" spans="2:4" ht="18">
      <c r="B30" s="5" t="str">
        <v>2019-2020절기 어린이 남성 인구수</v>
      </c>
      <c r="C30" s="6" t="str">
        <v xml:space="preserve">
int</v>
      </c>
      <c r="D30" s="10" t="str">
        <v>2019-2020절기 어린이 남성 인구 수</v>
      </c>
    </row>
    <row r="31" spans="2:4" ht="18">
      <c r="B31" s="5" t="str">
        <v>2019-2020절기 어린이 남성 접종률</v>
      </c>
      <c r="C31" s="6" t="str">
        <v>float</v>
      </c>
      <c r="D31" s="10" t="str">
        <v>2019-2020절기 어린이 남성 인구 대비 예방접종률</v>
      </c>
    </row>
    <row r="32" spans="2:4" ht="18">
      <c r="B32" s="5" t="str">
        <v>2019-2020절기 어린이 여성 인구수</v>
      </c>
      <c r="C32" s="6" t="str">
        <v>int</v>
      </c>
      <c r="D32" s="10" t="str">
        <v>2019-2020절기 어린이 여성 인구 수</v>
      </c>
    </row>
    <row r="33" spans="2:4" ht="18">
      <c r="B33" s="5" t="str">
        <v>2019-2020절기 어린이 여성 접종률</v>
      </c>
      <c r="C33" s="6" t="str">
        <v>float</v>
      </c>
      <c r="D33" s="10" t="str">
        <v>2019-2020절기 어린이 여성 인구 대비 예방접종률</v>
      </c>
    </row>
    <row r="34" spans="2:4" ht="18">
      <c r="B34" s="5" t="str">
        <v>2019-2020절기 어린이 전체 인구수</v>
      </c>
      <c r="C34" s="6" t="str">
        <v>int</v>
      </c>
      <c r="D34" s="10" t="str">
        <v>2019-2020절기 어린이 전체 인구 수</v>
      </c>
    </row>
    <row r="35" spans="2:4" ht="18">
      <c r="B35" s="5" t="str">
        <v>2019-2020절기 어린이 전체 접종률</v>
      </c>
      <c r="C35" s="6" t="str">
        <v>float</v>
      </c>
      <c r="D35" s="10" t="str">
        <v>2019-2020절기 어린이 전체 인구 대비 예방접종률</v>
      </c>
    </row>
    <row r="36" spans="2:4" ht="18">
      <c r="B36" s="5" t="str">
        <v>2020-2021절기 어린이 남성 인구수</v>
      </c>
      <c r="C36" s="6" t="str">
        <v xml:space="preserve">
int</v>
      </c>
      <c r="D36" s="10" t="str">
        <v>2020-2021절기 어린이 남성 인구 수</v>
      </c>
    </row>
    <row r="37" spans="2:4" ht="18">
      <c r="B37" s="5" t="str">
        <v>2020-2021절기 어린이 남성 접종률</v>
      </c>
      <c r="C37" s="6" t="str">
        <v>float</v>
      </c>
      <c r="D37" s="10" t="str">
        <v>2020-2021절기 어린이 남성 인구 대비 예방접종률</v>
      </c>
    </row>
    <row r="38" spans="2:4" ht="18">
      <c r="B38" s="5" t="str">
        <v>2020-2021절기 어린이 여성 인구수</v>
      </c>
      <c r="C38" s="6" t="str">
        <v>int</v>
      </c>
      <c r="D38" s="10" t="str">
        <v>2020-2021절기 어린이 여성 인구 수</v>
      </c>
    </row>
    <row r="39" spans="2:4" ht="18">
      <c r="B39" s="5" t="str">
        <v>2020-2021절기 어린이 여성 접종률</v>
      </c>
      <c r="C39" s="6" t="str">
        <v>float</v>
      </c>
      <c r="D39" s="10" t="str">
        <v>2020-2021절기 어린이 여성 인구 대비 예방접종률</v>
      </c>
    </row>
    <row r="40" spans="2:4" ht="18">
      <c r="B40" s="5" t="str">
        <v>2020-2021절기 어린이 전체 인구수</v>
      </c>
      <c r="C40" s="6" t="str">
        <v>int</v>
      </c>
      <c r="D40" s="10" t="str">
        <v>2020-2021절기 어린이 전체 인구 수</v>
      </c>
    </row>
    <row r="41" spans="2:4" ht="18">
      <c r="B41" s="5" t="str">
        <v>2020-2021절기 어린이 전체 접종률</v>
      </c>
      <c r="C41" s="6" t="str">
        <v>float</v>
      </c>
      <c r="D41" s="10" t="str">
        <v>2020-2021절기 어린이 전체 인구 대비 예방접종률</v>
      </c>
    </row>
    <row r="42" spans="2:4" ht="18">
      <c r="B42" s="5" t="str">
        <v>2021-2022절기 어린이 남성 인구수</v>
      </c>
      <c r="C42" s="6" t="str">
        <v xml:space="preserve">
int</v>
      </c>
      <c r="D42" s="10" t="str">
        <v>2021-2022절기 어린이 남성 인구 수</v>
      </c>
    </row>
    <row r="43" spans="2:4" ht="18">
      <c r="B43" s="5" t="str">
        <v>2021-2022절기 어린이 남성 접종률</v>
      </c>
      <c r="C43" s="6" t="str">
        <v>float</v>
      </c>
      <c r="D43" s="10" t="str">
        <v>2021-2022절기 어린이 남성 인구 대비 예방접종률</v>
      </c>
    </row>
    <row r="44" spans="2:4" ht="18">
      <c r="B44" s="5" t="str">
        <v>2021-2022절기 어린이 여성 인구수</v>
      </c>
      <c r="C44" s="6" t="str">
        <v>int</v>
      </c>
      <c r="D44" s="10" t="str">
        <v>2021-2022절기 어린이 여성 인구 수</v>
      </c>
    </row>
    <row r="45" spans="2:4" ht="18">
      <c r="B45" s="5" t="str">
        <v>2021-2022절기 어린이 여성 접종률</v>
      </c>
      <c r="C45" s="6" t="str">
        <v>float</v>
      </c>
      <c r="D45" s="10" t="str">
        <v>2021-2022절기 어린이 여성 인구 대비 예방접종률</v>
      </c>
    </row>
    <row r="46" spans="2:4" ht="18">
      <c r="B46" s="5" t="str">
        <v>2021-2022절기 어린이 전체 인구수</v>
      </c>
      <c r="C46" s="6" t="str">
        <v>int</v>
      </c>
      <c r="D46" s="10" t="str">
        <v>2021-2022절기 어린이 전체 인구 수</v>
      </c>
    </row>
    <row r="47" spans="2:4" ht="18">
      <c r="B47" s="5" t="str">
        <v>2021-2022절기 어린이 전체 접종률</v>
      </c>
      <c r="C47" s="6" t="str">
        <v>float</v>
      </c>
      <c r="D47" s="10" t="str">
        <v>2021-2022절기 어린이 전체 인구 대비 예방접종률</v>
      </c>
    </row>
    <row r="48" spans="2:4" ht="18">
      <c r="B48" s="5" t="str">
        <v>2022-2023절기 어린이 남성 인구수</v>
      </c>
      <c r="C48" s="6" t="str">
        <v xml:space="preserve">
int</v>
      </c>
      <c r="D48" s="10" t="str">
        <v>2022-2023절기 어린이 남성 인구 수</v>
      </c>
    </row>
    <row r="49" spans="2:4" ht="18">
      <c r="B49" s="5" t="str">
        <v>2022-2023절기 어린이 남성 접종률</v>
      </c>
      <c r="C49" s="6" t="str">
        <v>float</v>
      </c>
      <c r="D49" s="10" t="str">
        <v>2022-2023절기 어린이 남성 인구 대비 예방접종률</v>
      </c>
    </row>
    <row r="50" spans="2:4" ht="18">
      <c r="B50" s="5" t="str">
        <v>2022-2023절기 어린이 여성 인구수</v>
      </c>
      <c r="C50" s="6" t="str">
        <v>int</v>
      </c>
      <c r="D50" s="10" t="str">
        <v>2022-2023절기 어린이 여성 인구 수</v>
      </c>
    </row>
    <row r="51" spans="2:4" ht="18">
      <c r="B51" s="5" t="str">
        <v>2022-2023절기 어린이 여성 접종률</v>
      </c>
      <c r="C51" s="6" t="str">
        <v>float</v>
      </c>
      <c r="D51" s="10" t="str">
        <v>2022-2023절기 어린이 여성 인구 대비 예방접종률</v>
      </c>
    </row>
    <row r="52" spans="2:4" ht="18">
      <c r="B52" s="5" t="str">
        <v>2022-2023절기 어린이 전체 인구수</v>
      </c>
      <c r="C52" s="6" t="str">
        <v>int</v>
      </c>
      <c r="D52" s="10" t="str">
        <v>2022-2023절기 어린이 전체 인구 수</v>
      </c>
    </row>
    <row r="53" spans="2:4" ht="18">
      <c r="B53" s="5" t="str">
        <v>2022-2023절기 어린이 전체 접종률</v>
      </c>
      <c r="C53" s="6" t="str">
        <v>float</v>
      </c>
      <c r="D53" s="10" t="str">
        <v>2022-2023절기 어린이 전체 인구 대비 예방접종률</v>
      </c>
    </row>
    <row r="54" spans="2:4" ht="18">
      <c r="B54" s="5" t="str">
        <v>2023-2024절기 어린이 남성 인구수</v>
      </c>
      <c r="C54" s="6" t="str">
        <v xml:space="preserve">
int</v>
      </c>
      <c r="D54" s="10" t="str">
        <v>2023-2024절기 어린이 남성 인구 수</v>
      </c>
    </row>
    <row r="55" spans="2:4" ht="18">
      <c r="B55" s="5" t="str">
        <v>2023-2024절기 어린이 남성 접종률</v>
      </c>
      <c r="C55" s="6" t="str">
        <v>float</v>
      </c>
      <c r="D55" s="10" t="str">
        <v>2023-2024절기 어린이 남성 인구 대비 예방접종률</v>
      </c>
    </row>
    <row r="56" spans="2:4" ht="18">
      <c r="B56" s="5" t="str">
        <v>2023-2024절기 어린이 여성 인구수</v>
      </c>
      <c r="C56" s="6" t="str">
        <v>int</v>
      </c>
      <c r="D56" s="10" t="str">
        <v>2023-2024절기 어린이 여성 인구 수</v>
      </c>
    </row>
    <row r="57" spans="2:4" ht="18">
      <c r="B57" s="5" t="str">
        <v>2023-2024절기 어린이 여성 접종률</v>
      </c>
      <c r="C57" s="6" t="str">
        <v>float</v>
      </c>
      <c r="D57" s="10" t="str">
        <v>2023-2024절기 어린이 여성 인구 대비 예방접종률</v>
      </c>
    </row>
    <row r="58" spans="2:4" ht="18">
      <c r="B58" s="5" t="str">
        <v>2023-2024절기 어린이 전체 인구수</v>
      </c>
      <c r="C58" s="6" t="str">
        <v>int</v>
      </c>
      <c r="D58" s="10" t="str">
        <v>2023-2024절기 어린이 전체 인구 수</v>
      </c>
    </row>
    <row r="59" spans="2:4" ht="18">
      <c r="B59" s="5" t="str">
        <v>2023-2024절기 어린이 전체 접종률</v>
      </c>
      <c r="C59" s="6" t="str">
        <v>float</v>
      </c>
      <c r="D59" s="10" t="str">
        <v>2023-2024절기 어린이 전체 인구 대비 예방접종률</v>
      </c>
    </row>
    <row r="60" spans="2:4" ht="18">
      <c r="B60" s="5" t="str">
        <v>2015-2016절기 65세 이상 남성 인구수</v>
      </c>
      <c r="C60" s="6" t="str">
        <v xml:space="preserve">
int</v>
      </c>
      <c r="D60" s="10" t="str">
        <v>2015-2016절기 65세 이상 남성 인구 수</v>
      </c>
    </row>
    <row r="61" spans="2:4" ht="18">
      <c r="B61" s="5" t="str">
        <v>2015-2016절기 65세 이상 남성 접종률</v>
      </c>
      <c r="C61" s="6" t="str">
        <v>float</v>
      </c>
      <c r="D61" s="10" t="str">
        <v>2015-2016절기 65세 이상 남성 인구 대비 예방접종률</v>
      </c>
    </row>
    <row r="62" spans="2:4" ht="18">
      <c r="B62" s="5" t="str">
        <v>2015-2016절기 65세 이상 여성 인구수</v>
      </c>
      <c r="C62" s="6" t="str">
        <v>int</v>
      </c>
      <c r="D62" s="10" t="str">
        <v>2015-2016절기 65세 이상 여성 인구 수</v>
      </c>
    </row>
    <row r="63" spans="2:4" ht="18">
      <c r="B63" s="5" t="str">
        <v>2015-2016절기 65세 이상 여성 접종률</v>
      </c>
      <c r="C63" s="6" t="str">
        <v>float</v>
      </c>
      <c r="D63" s="10" t="str">
        <v>2015-2016절기 65세 이상 여성 인구 대비 예방접종률</v>
      </c>
    </row>
    <row r="64" spans="2:4" ht="18">
      <c r="B64" s="5" t="str">
        <v>2015-2016절기 65세 이상 전체 인구수</v>
      </c>
      <c r="C64" s="6" t="str">
        <v>int</v>
      </c>
      <c r="D64" s="10" t="str">
        <v>2015-2016절기 65세 이상 전체 인구 수</v>
      </c>
    </row>
    <row r="65" spans="2:4" ht="18">
      <c r="B65" s="5" t="str">
        <v>2015-2016절기 65세 이상 전체 접종률</v>
      </c>
      <c r="C65" s="6" t="str">
        <v>float</v>
      </c>
      <c r="D65" s="10" t="str">
        <v>2015-2016절기 65세 이상 전체 인구 대비 예방접종률</v>
      </c>
    </row>
    <row r="66" spans="2:4" ht="18">
      <c r="B66" s="5" t="str">
        <v>2016-2017절기 65세 이상 남성 인구수</v>
      </c>
      <c r="C66" s="6" t="str">
        <v xml:space="preserve">
int</v>
      </c>
      <c r="D66" s="10" t="str">
        <v>2016-2017절기 65세 이상 남성 인구 수</v>
      </c>
    </row>
    <row r="67" spans="2:4" ht="18">
      <c r="B67" s="5" t="str">
        <v>2016-2017절기 65세 이상 남성 접종률</v>
      </c>
      <c r="C67" s="6" t="str">
        <v>float</v>
      </c>
      <c r="D67" s="10" t="str">
        <v>2016-2017절기 65세 이상 남성 인구 대비 예방접종률</v>
      </c>
    </row>
    <row r="68" spans="2:4" ht="18">
      <c r="B68" s="5" t="str">
        <v>2016-2017절기 65세 이상 여성 인구수</v>
      </c>
      <c r="C68" s="6" t="str">
        <v>int</v>
      </c>
      <c r="D68" s="10" t="str">
        <v>2016-2017절기 65세 이상 여성 인구 수</v>
      </c>
    </row>
    <row r="69" spans="2:4" ht="18">
      <c r="B69" s="5" t="str">
        <v>2016-2017절기 65세 이상 여성 접종률</v>
      </c>
      <c r="C69" s="6" t="str">
        <v>float</v>
      </c>
      <c r="D69" s="10" t="str">
        <v>2016-2017절기 65세 이상 여성 인구 대비 예방접종률</v>
      </c>
    </row>
    <row r="70" spans="2:4" ht="18">
      <c r="B70" s="5" t="str">
        <v>2016-2017절기 65세 이상 전체 인구수</v>
      </c>
      <c r="C70" s="6" t="str">
        <v>int</v>
      </c>
      <c r="D70" s="10" t="str">
        <v>2016-2017절기 65세 이상 전체 인구 수</v>
      </c>
    </row>
    <row r="71" spans="2:4" ht="18">
      <c r="B71" s="5" t="str">
        <v>2016-2017절기 65세 이상 전체 접종률</v>
      </c>
      <c r="C71" s="6" t="str">
        <v>float</v>
      </c>
      <c r="D71" s="10" t="str">
        <v>2016-2017절기 65세 이상 전체 인구 대비 예방접종률</v>
      </c>
    </row>
    <row r="72" spans="2:4" ht="18">
      <c r="B72" s="5" t="str">
        <v>2017-2018절기 65세 이상 남성 인구수</v>
      </c>
      <c r="C72" s="6" t="str">
        <v xml:space="preserve">
int</v>
      </c>
      <c r="D72" s="10" t="str">
        <v>2017-2018절기 65세 이상 남성 인구 수</v>
      </c>
    </row>
    <row r="73" spans="2:4" ht="18">
      <c r="B73" s="5" t="str">
        <v>2017-2018절기 65세 이상 남성 접종률</v>
      </c>
      <c r="C73" s="6" t="str">
        <v>float</v>
      </c>
      <c r="D73" s="10" t="str">
        <v>2017-2018절기 65세 이상 남성 인구 대비 예방접종률</v>
      </c>
    </row>
    <row r="74" spans="2:4" ht="18">
      <c r="B74" s="5" t="str">
        <v>2017-2018절기 65세 이상 여성 인구수</v>
      </c>
      <c r="C74" s="6" t="str">
        <v>int</v>
      </c>
      <c r="D74" s="10" t="str">
        <v>2017-2018절기 65세 이상 여성 인구 수</v>
      </c>
    </row>
    <row r="75" spans="2:4" ht="18">
      <c r="B75" s="5" t="str">
        <v>2017-2018절기 65세 이상 여성 접종률</v>
      </c>
      <c r="C75" s="6" t="str">
        <v>float</v>
      </c>
      <c r="D75" s="10" t="str">
        <v>2017-2018절기 65세 이상 여성 인구 대비 예방접종률</v>
      </c>
    </row>
    <row r="76" spans="2:4" ht="18">
      <c r="B76" s="5" t="str">
        <v>2017-2018절기 65세 이상 전체 인구수</v>
      </c>
      <c r="C76" s="6" t="str">
        <v>int</v>
      </c>
      <c r="D76" s="10" t="str">
        <v>2017-2018절기 65세 이상 전체 인구 수</v>
      </c>
    </row>
    <row r="77" spans="2:4" ht="18">
      <c r="B77" s="5" t="str">
        <v>2017-2018절기 65세 이상 전체 접종률</v>
      </c>
      <c r="C77" s="6" t="str">
        <v>float</v>
      </c>
      <c r="D77" s="10" t="str">
        <v>2017-2018절기 65세 이상 전체 인구 대비 예방접종률</v>
      </c>
    </row>
    <row r="78" spans="2:4" ht="18">
      <c r="B78" s="5" t="str">
        <v>2018-2019절기 65세 이상 남성 인구수</v>
      </c>
      <c r="C78" s="6" t="str">
        <v xml:space="preserve">
int</v>
      </c>
      <c r="D78" s="10" t="str">
        <v>2018-2019절기 65세 이상 남성 인구 수</v>
      </c>
    </row>
    <row r="79" spans="2:4" ht="18">
      <c r="B79" s="5" t="str">
        <v>2018-2019절기 65세 이상 남성 접종률</v>
      </c>
      <c r="C79" s="6" t="str">
        <v>float</v>
      </c>
      <c r="D79" s="10" t="str">
        <v>2018-2019절기 65세 이상 남성 인구 대비 예방접종률</v>
      </c>
    </row>
    <row r="80" spans="2:4" ht="18">
      <c r="B80" s="5" t="str">
        <v>2018-2019절기 65세 이상 여성 인구수</v>
      </c>
      <c r="C80" s="6" t="str">
        <v>int</v>
      </c>
      <c r="D80" s="10" t="str">
        <v>2018-2019절기 65세 이상 여성 인구 수</v>
      </c>
    </row>
    <row r="81" spans="2:4" ht="18">
      <c r="B81" s="5" t="str">
        <v>2018-2019절기 65세 이상 여성 접종률</v>
      </c>
      <c r="C81" s="6" t="str">
        <v>float</v>
      </c>
      <c r="D81" s="10" t="str">
        <v>2018-2019절기 65세 이상 여성 인구 대비 예방접종률</v>
      </c>
    </row>
    <row r="82" spans="2:4" ht="18">
      <c r="B82" s="5" t="str">
        <v>2018-2019절기 65세 이상 전체 인구수</v>
      </c>
      <c r="C82" s="6" t="str">
        <v>int</v>
      </c>
      <c r="D82" s="10" t="str">
        <v>2018-2019절기 65세 이상 전체 인구 수</v>
      </c>
    </row>
    <row r="83" spans="2:4" ht="18">
      <c r="B83" s="5" t="str">
        <v>2018-2019절기 65세 이상 전체 접종률</v>
      </c>
      <c r="C83" s="6" t="str">
        <v>float</v>
      </c>
      <c r="D83" s="10" t="str">
        <v>2018-2019절기 65세 이상 전체 인구 대비 예방접종률</v>
      </c>
    </row>
    <row r="84" spans="2:4" ht="18">
      <c r="B84" s="5" t="str">
        <v>2019-2020절기 65세 이상 남성 인구수</v>
      </c>
      <c r="C84" s="6" t="str">
        <v xml:space="preserve">
int</v>
      </c>
      <c r="D84" s="10" t="str">
        <v>2019-2020절기 65세 이상 남성 인구 수</v>
      </c>
    </row>
    <row r="85" spans="2:4" ht="18">
      <c r="B85" s="5" t="str">
        <v>2019-2020절기 65세 이상 남성 접종률</v>
      </c>
      <c r="C85" s="6" t="str">
        <v>float</v>
      </c>
      <c r="D85" s="10" t="str">
        <v>2019-2020절기 65세 이상 남성 인구 대비 예방접종률</v>
      </c>
    </row>
    <row r="86" spans="2:4" ht="18">
      <c r="B86" s="5" t="str">
        <v>2019-2020절기 65세 이상 여성 인구수</v>
      </c>
      <c r="C86" s="6" t="str">
        <v>int</v>
      </c>
      <c r="D86" s="10" t="str">
        <v>2019-2020절기 65세 이상 여성 인구 수</v>
      </c>
    </row>
    <row r="87" spans="2:4" ht="18">
      <c r="B87" s="5" t="str">
        <v>2019-2020절기 65세 이상 여성 접종률</v>
      </c>
      <c r="C87" s="6" t="str">
        <v>float</v>
      </c>
      <c r="D87" s="10" t="str">
        <v>2019-2020절기 65세 이상 여성 인구 대비 예방접종률</v>
      </c>
    </row>
    <row r="88" spans="2:4" ht="18">
      <c r="B88" s="5" t="str">
        <v>2019-2020절기 65세 이상 전체 인구수</v>
      </c>
      <c r="C88" s="6" t="str">
        <v>int</v>
      </c>
      <c r="D88" s="10" t="str">
        <v>2019-2020절기 65세 이상 전체 인구 수</v>
      </c>
    </row>
    <row r="89" spans="2:4" ht="18">
      <c r="B89" s="5" t="str">
        <v>2019-2020절기 65세 이상 전체 접종률</v>
      </c>
      <c r="C89" s="6" t="str">
        <v>float</v>
      </c>
      <c r="D89" s="10" t="str">
        <v>2019-2020절기 65세 이상 전체 인구 대비 예방접종률</v>
      </c>
    </row>
    <row r="90" spans="2:4" ht="18">
      <c r="B90" s="5" t="str">
        <v>2020-2021절기 65세 이상 남성 인구수</v>
      </c>
      <c r="C90" s="6" t="str">
        <v xml:space="preserve">
int</v>
      </c>
      <c r="D90" s="10" t="str">
        <v>2020-2021절기 65세 이상 남성 인구 수</v>
      </c>
    </row>
    <row r="91" spans="2:4" ht="18">
      <c r="B91" s="5" t="str">
        <v>2020-2021절기 65세 이상 남성 접종률</v>
      </c>
      <c r="C91" s="6" t="str">
        <v>float</v>
      </c>
      <c r="D91" s="10" t="str">
        <v>2020-2021절기 65세 이상 남성 인구 대비 예방접종률</v>
      </c>
    </row>
    <row r="92" spans="2:4" ht="18">
      <c r="B92" s="5" t="str">
        <v>2020-2021절기 65세 이상 여성 인구수</v>
      </c>
      <c r="C92" s="6" t="str">
        <v>int</v>
      </c>
      <c r="D92" s="10" t="str">
        <v>2020-2021절기 65세 이상 여성 인구 수</v>
      </c>
    </row>
    <row r="93" spans="2:4" ht="18">
      <c r="B93" s="5" t="str">
        <v>2020-2021절기 65세 이상 여성 접종률</v>
      </c>
      <c r="C93" s="6" t="str">
        <v>float</v>
      </c>
      <c r="D93" s="10" t="str">
        <v>2020-2021절기 65세 이상 여성 인구 대비 예방접종률</v>
      </c>
    </row>
    <row r="94" spans="2:4" ht="18">
      <c r="B94" s="5" t="str">
        <v>2020-2021절기 65세 이상 전체 인구수</v>
      </c>
      <c r="C94" s="6" t="str">
        <v>int</v>
      </c>
      <c r="D94" s="10" t="str">
        <v>2020-2021절기 65세 이상 전체 인구 수</v>
      </c>
    </row>
    <row r="95" spans="2:4" ht="18">
      <c r="B95" s="5" t="str">
        <v>2020-2021절기 65세 이상 전체 접종률</v>
      </c>
      <c r="C95" s="6" t="str">
        <v>float</v>
      </c>
      <c r="D95" s="10" t="str">
        <v>2020-2021절기 65세 이상 전체 인구 대비 예방접종률</v>
      </c>
    </row>
    <row r="96" spans="2:4" ht="18">
      <c r="B96" s="5" t="str">
        <v>2021-2022절기 65세 이상 남성 인구수</v>
      </c>
      <c r="C96" s="6" t="str">
        <v xml:space="preserve">
int</v>
      </c>
      <c r="D96" s="10" t="str">
        <v>2021-2022절기 65세 이상 남성 인구 수</v>
      </c>
    </row>
    <row r="97" spans="2:4" ht="18">
      <c r="B97" s="5" t="str">
        <v>2021-2022절기 65세 이상 남성 접종률</v>
      </c>
      <c r="C97" s="6" t="str">
        <v>float</v>
      </c>
      <c r="D97" s="10" t="str">
        <v>2021-2022절기 65세 이상 남성 인구 대비 예방접종률</v>
      </c>
    </row>
    <row r="98" spans="2:4" ht="18">
      <c r="B98" s="5" t="str">
        <v>2021-2022절기 65세 이상 여성 인구수</v>
      </c>
      <c r="C98" s="6" t="str">
        <v>int</v>
      </c>
      <c r="D98" s="10" t="str">
        <v>2021-2022절기 65세 이상 여성 인구 수</v>
      </c>
    </row>
    <row r="99" spans="2:4" ht="18">
      <c r="B99" s="5" t="str">
        <v>2021-2022절기 65세 이상 여성 접종률</v>
      </c>
      <c r="C99" s="6" t="str">
        <v>float</v>
      </c>
      <c r="D99" s="10" t="str">
        <v>2021-2022절기 65세 이상 여성 인구 대비 예방접종률</v>
      </c>
    </row>
    <row r="100" spans="2:4" ht="18">
      <c r="B100" s="5" t="str">
        <v>2021-2022절기 65세 이상 전체 인구수</v>
      </c>
      <c r="C100" s="6" t="str">
        <v>int</v>
      </c>
      <c r="D100" s="10" t="str">
        <v>2021-2022절기 65세 이상 전체 인구 수</v>
      </c>
    </row>
    <row r="101" spans="2:4" ht="18">
      <c r="B101" s="5" t="str">
        <v>2021-2022절기 65세 이상 전체 접종률</v>
      </c>
      <c r="C101" s="6" t="str">
        <v>float</v>
      </c>
      <c r="D101" s="10" t="str">
        <v>2021-2022절기 65세 이상 전체 인구 대비 예방접종률</v>
      </c>
    </row>
    <row r="102" spans="2:4" ht="18">
      <c r="B102" s="5" t="str">
        <v>2022-2023절기 65세 이상 남성 인구수</v>
      </c>
      <c r="C102" s="6" t="str">
        <v xml:space="preserve">
int</v>
      </c>
      <c r="D102" s="10" t="str">
        <v>2022-2023절기 65세 이상 남성 인구 수</v>
      </c>
    </row>
    <row r="103" spans="2:4" ht="18">
      <c r="B103" s="5" t="str">
        <v>2022-2023절기 65세 이상 남성 접종률</v>
      </c>
      <c r="C103" s="6" t="str">
        <v>float</v>
      </c>
      <c r="D103" s="10" t="str">
        <v>2022-2023절기 65세 이상 남성 인구 대비 예방접종률</v>
      </c>
    </row>
    <row r="104" spans="2:4" ht="18">
      <c r="B104" s="5" t="str">
        <v>2022-2023절기 65세 이상 여성 인구수</v>
      </c>
      <c r="C104" s="6" t="str">
        <v>int</v>
      </c>
      <c r="D104" s="10" t="str">
        <v>2022-2023절기 65세 이상 여성 인구 수</v>
      </c>
    </row>
    <row r="105" spans="2:4" ht="18">
      <c r="B105" s="5" t="str">
        <v>2022-2023절기 65세 이상 여성 접종률</v>
      </c>
      <c r="C105" s="6" t="str">
        <v>float</v>
      </c>
      <c r="D105" s="10" t="str">
        <v>2022-2023절기 65세 이상 여성 인구 대비 예방접종률</v>
      </c>
    </row>
    <row r="106" spans="2:4" ht="18">
      <c r="B106" s="5" t="str">
        <v>2022-2023절기 65세 이상 전체 인구수</v>
      </c>
      <c r="C106" s="6" t="str">
        <v>int</v>
      </c>
      <c r="D106" s="10" t="str">
        <v>2022-2023절기 65세 이상 전체 인구 수</v>
      </c>
    </row>
    <row r="107" spans="2:4" ht="18">
      <c r="B107" s="5" t="str">
        <v>2022-2023절기 65세 이상 전체 접종률</v>
      </c>
      <c r="C107" s="6" t="str">
        <v>float</v>
      </c>
      <c r="D107" s="10" t="str">
        <v>2022-2023절기 65세 이상 전체 인구 대비 예방접종률</v>
      </c>
    </row>
    <row r="108" spans="2:4" ht="18">
      <c r="B108" s="5" t="str">
        <v>2023-2024절기 65세 이상 남성 인구수</v>
      </c>
      <c r="C108" s="6" t="str">
        <v xml:space="preserve">
int</v>
      </c>
      <c r="D108" s="10" t="str">
        <v>2023-2024절기 65세 이상 남성 인구 수</v>
      </c>
    </row>
    <row r="109" spans="2:4" ht="18">
      <c r="B109" s="5" t="str">
        <v>2023-2024절기 65세 이상 남성 접종률</v>
      </c>
      <c r="C109" s="6" t="str">
        <v>float</v>
      </c>
      <c r="D109" s="10" t="str">
        <v>2023-2024절기 65세 이상 남성 인구 대비 예방접종률</v>
      </c>
    </row>
    <row r="110" spans="2:4" ht="18">
      <c r="B110" s="5" t="str">
        <v>2023-2024절기 65세 이상 여성 인구수</v>
      </c>
      <c r="C110" s="6" t="str">
        <v>int</v>
      </c>
      <c r="D110" s="10" t="str">
        <v>2023-2024절기 65세 이상 여성 인구 수</v>
      </c>
    </row>
    <row r="111" spans="2:4" ht="18">
      <c r="B111" s="5" t="str">
        <v>2023-2024절기 65세 이상 여성 접종률</v>
      </c>
      <c r="C111" s="6" t="str">
        <v>float</v>
      </c>
      <c r="D111" s="10" t="str">
        <v>2023-2024절기 65세 이상 여성 인구 대비 예방접종률</v>
      </c>
    </row>
    <row r="112" spans="2:4" ht="18">
      <c r="B112" s="5" t="str">
        <v>2023-2024절기 65세 이상 전체 인구수</v>
      </c>
      <c r="C112" s="6" t="str">
        <v>int</v>
      </c>
      <c r="D112" s="10" t="str">
        <v>2023-2024절기 65세 이상 전체 인구 수</v>
      </c>
    </row>
    <row r="113" spans="2:4" ht="18">
      <c r="B113" s="5" t="str">
        <v>2023-2024절기 65세 이상 전체 접종률</v>
      </c>
      <c r="C113" s="6" t="str">
        <v>float</v>
      </c>
      <c r="D113" s="10" t="str">
        <v>2023-2024절기 65세 이상 전체 인구 대비 예방접종률</v>
      </c>
    </row>
    <row r="114" spans="2:4" ht="18">
      <c r="B114" s="5" t="str">
        <v>2019-2020절기 임신부 보건소 접종자수</v>
      </c>
      <c r="C114" s="6" t="str">
        <v xml:space="preserve">
int</v>
      </c>
      <c r="D114" s="10" t="str">
        <v>2019-2020절기 임신부 보건소 접종자 수</v>
      </c>
    </row>
    <row r="115" spans="2:4" ht="18">
      <c r="B115" s="5" t="str">
        <v>2020-2021절기 임신부 보건소 접종자수</v>
      </c>
      <c r="C115" s="6" t="str">
        <v>float</v>
      </c>
      <c r="D115" s="10" t="str">
        <v>2020-2021절기 임신부 보건소 접종자 수</v>
      </c>
    </row>
    <row r="116" spans="2:4" ht="18">
      <c r="B116" s="5" t="str">
        <v>2021-2022절기 임신부 보건소 접종자수</v>
      </c>
      <c r="C116" s="6" t="str">
        <v>int</v>
      </c>
      <c r="D116" s="10" t="str">
        <v>2021-2022절기 임신부 보건소 접종자 수</v>
      </c>
    </row>
    <row r="117" spans="2:4" ht="18">
      <c r="B117" s="5" t="str">
        <v>2022-2023절기 임신부 보건소 접종자수</v>
      </c>
      <c r="C117" s="6" t="str">
        <v>float</v>
      </c>
      <c r="D117" s="10" t="str">
        <v>2022-2023절기 임신부 보건소 접종자 수</v>
      </c>
    </row>
    <row r="118" spans="2:4" ht="18">
      <c r="B118" s="5" t="str">
        <v>2023-2024절기 임신부 보건소 접종자수</v>
      </c>
      <c r="C118" s="6" t="str">
        <v>int</v>
      </c>
      <c r="D118" s="10" t="str">
        <v>2023-2024절기 임신부 보건소 접종자 수</v>
      </c>
    </row>
    <row r="119" spans="2:4" ht="18">
      <c r="B119" s="5" t="str">
        <v>2019-2020절기 임신부 의료기관 접종자수</v>
      </c>
      <c r="C119" s="6" t="str">
        <v>float</v>
      </c>
      <c r="D119" s="10" t="str">
        <v>2019-2020절기 임신부 의료기관 접종자 수</v>
      </c>
    </row>
    <row r="120" spans="2:4" ht="18">
      <c r="B120" s="5" t="str">
        <v>2020-2021절기 임신부 의료기관 접종자수</v>
      </c>
      <c r="C120" s="6" t="str">
        <v xml:space="preserve">
int</v>
      </c>
      <c r="D120" s="10" t="str">
        <v>2020-2021절기 임신부 의료기관 접종자 수</v>
      </c>
    </row>
    <row r="121" spans="2:4" ht="18">
      <c r="B121" s="5" t="str">
        <v>2021-2022절기 임신부 의료기관 접종자수</v>
      </c>
      <c r="C121" s="6" t="str">
        <v>float</v>
      </c>
      <c r="D121" s="10" t="str">
        <v>2021-2022절기 임신부 의료기관 접종자 수</v>
      </c>
    </row>
    <row r="122" spans="2:4" ht="18">
      <c r="B122" s="5" t="str">
        <v>2022-2023절기 임신부 의료기관 접종자수</v>
      </c>
      <c r="C122" s="6" t="str">
        <v>int</v>
      </c>
      <c r="D122" s="10" t="str">
        <v>2022-2023절기 임신부 의료기관 접종자 수</v>
      </c>
    </row>
    <row r="123" spans="2:4" ht="18">
      <c r="B123" s="5" t="str">
        <v>2023-2024절기 임신부 의료기관 접종자수</v>
      </c>
      <c r="C123" s="6" t="str">
        <v>float</v>
      </c>
      <c r="D123" s="10" t="str">
        <v>2023-2024절기 임신부 의료기관 접종자 수</v>
      </c>
    </row>
    <row r="124" spans="2:4" ht="18">
      <c r="B124" s="5" t="str">
        <v>2016-2017절기 어린이 남성 보건소 접종자수</v>
      </c>
      <c r="C124" s="6" t="str">
        <v>int</v>
      </c>
      <c r="D124" s="10" t="str">
        <v>2016-2017절기 어린이 남성 보건소 접종자 수</v>
      </c>
    </row>
    <row r="125" spans="2:4" ht="18">
      <c r="B125" s="5" t="str">
        <v>2016-2017절기 어린이 여성 보건소 접종자수</v>
      </c>
      <c r="C125" s="6" t="str">
        <v>float</v>
      </c>
      <c r="D125" s="10" t="str">
        <v>2016-2017절기 어린이 여성 보건소 접종자 수</v>
      </c>
    </row>
    <row r="126" spans="2:4" ht="18">
      <c r="B126" s="5" t="str">
        <v>2017-2018절기 어린이 남성 보건소 접종자수</v>
      </c>
      <c r="C126" s="6" t="str">
        <v xml:space="preserve">
int</v>
      </c>
      <c r="D126" s="10" t="str">
        <v>2017-2018절기 어린이 남성 보건소 접종자 수</v>
      </c>
    </row>
    <row r="127" spans="2:4" ht="18">
      <c r="B127" s="5" t="str">
        <v>2017-2018절기 어린이 여성 보건소 접종자수</v>
      </c>
      <c r="C127" s="6" t="str">
        <v>float</v>
      </c>
      <c r="D127" s="10" t="str">
        <v>2017-2018절기 어린이 여성 보건소 접종자 수</v>
      </c>
    </row>
    <row r="128" spans="2:4" ht="18">
      <c r="B128" s="5" t="str">
        <v>2018-2019절기 어린이 남성 보건소 접종자수</v>
      </c>
      <c r="C128" s="6" t="str">
        <v>int</v>
      </c>
      <c r="D128" s="10" t="str">
        <v>2018-2019절기 어린이 남성 보건소 접종자 수</v>
      </c>
    </row>
    <row r="129" spans="2:4" ht="18">
      <c r="B129" s="5" t="str">
        <v>2018-2019절기 어린이 여성 보건소 접종자수</v>
      </c>
      <c r="C129" s="6" t="str">
        <v>float</v>
      </c>
      <c r="D129" s="10" t="str">
        <v>2018-2019절기 어린이 여성 보건소 접종자 수</v>
      </c>
    </row>
    <row r="130" spans="2:4" ht="18">
      <c r="B130" s="5" t="str">
        <v>2019-2020절기 어린이 남성 보건소 접종자수</v>
      </c>
      <c r="C130" s="6" t="str">
        <v>int</v>
      </c>
      <c r="D130" s="10" t="str">
        <v>2019-2020절기 어린이 남성 보건소 접종자 수</v>
      </c>
    </row>
    <row r="131" spans="2:4" ht="18">
      <c r="B131" s="5" t="str">
        <v>2019-2020절기 어린이 여성 보건소 접종자수</v>
      </c>
      <c r="C131" s="6" t="str">
        <v>float</v>
      </c>
      <c r="D131" s="10" t="str">
        <v>2019-2020절기 어린이 여성 보건소 접종자 수</v>
      </c>
    </row>
    <row r="132" spans="2:4" ht="18">
      <c r="B132" s="5" t="str">
        <v>2020-2021절기 어린이 남성 보건소 접종자수</v>
      </c>
      <c r="C132" s="6" t="str">
        <v xml:space="preserve">
int</v>
      </c>
      <c r="D132" s="10" t="str">
        <v>2020-2021절기 어린이 남성 보건소 접종자 수</v>
      </c>
    </row>
    <row r="133" spans="2:4" ht="18">
      <c r="B133" s="5" t="str">
        <v>2020-2021절기 어린이 여성 보건소 접종자수</v>
      </c>
      <c r="C133" s="6" t="str">
        <v>float</v>
      </c>
      <c r="D133" s="10" t="str">
        <v>2020-2021절기 어린이 여성 보건소 접종자 수</v>
      </c>
    </row>
    <row r="134" spans="2:4" ht="18">
      <c r="B134" s="5" t="str">
        <v>2021-2022절기 어린이 남성 보건소 접종자수</v>
      </c>
      <c r="C134" s="6" t="str">
        <v>int</v>
      </c>
      <c r="D134" s="10" t="str">
        <v>2021-2022절기 어린이 남성 보건소 접종자 수</v>
      </c>
    </row>
    <row r="135" spans="2:4" ht="18">
      <c r="B135" s="5" t="str">
        <v>2021-2022절기 어린이 여성 보건소 접종자수</v>
      </c>
      <c r="C135" s="6" t="str">
        <v>float</v>
      </c>
      <c r="D135" s="10" t="str">
        <v>2021-2022절기 어린이 여성 보건소 접종자 수</v>
      </c>
    </row>
    <row r="136" spans="2:4" ht="18">
      <c r="B136" s="5" t="str">
        <v>2022-2023절기 어린이 남성 보건소 접종자수</v>
      </c>
      <c r="C136" s="6" t="str">
        <v>int</v>
      </c>
      <c r="D136" s="10" t="str">
        <v>2022-2023절기 어린이 남성 보건소 접종자 수</v>
      </c>
    </row>
    <row r="137" spans="2:4" ht="18">
      <c r="B137" s="5" t="str">
        <v>2022-2023절기 어린이 여성 보건소 접종자수</v>
      </c>
      <c r="C137" s="6" t="str">
        <v>float</v>
      </c>
      <c r="D137" s="10" t="str">
        <v>2022-2023절기 어린이 여성 보건소 접종자 수</v>
      </c>
    </row>
    <row r="138" spans="2:4" ht="18">
      <c r="B138" s="5" t="str">
        <v>2023-2024절기 어린이 남성 보건소 접종자수</v>
      </c>
      <c r="C138" s="6" t="str">
        <v xml:space="preserve">
int</v>
      </c>
      <c r="D138" s="10" t="str">
        <v>2023-2024절기 어린이 남성 보건소 접종자 수</v>
      </c>
    </row>
    <row r="139" spans="2:4" ht="18">
      <c r="B139" s="5" t="str">
        <v>2023-2024절기 어린이 여성 보건소 접종자수</v>
      </c>
      <c r="C139" s="6" t="str">
        <v>float</v>
      </c>
      <c r="D139" s="10" t="str">
        <v>2023-2024절기 어린이 여성 보건소 접종자 수</v>
      </c>
    </row>
    <row r="140" spans="2:4" ht="18">
      <c r="B140" s="5" t="str">
        <v>2015-2016절기 65세 이상 남성 보건소 접종자수</v>
      </c>
      <c r="C140" s="6" t="str">
        <v>int</v>
      </c>
      <c r="D140" s="10" t="str">
        <v>2015-2016절기 65세 이상 남성 보건소 접종자 수</v>
      </c>
    </row>
    <row r="141" spans="2:4" ht="18">
      <c r="B141" s="5" t="str">
        <v>2015-2016절기 65세 이상 여성 보건소 접종자수</v>
      </c>
      <c r="C141" s="6" t="str">
        <v>float</v>
      </c>
      <c r="D141" s="10" t="str">
        <v>2015-2016절기 65세 이상 여성 보건소 접종자 수</v>
      </c>
    </row>
    <row r="142" spans="2:4" ht="18">
      <c r="B142" s="5" t="str">
        <v>2016-2017절기 65세 이상 남성 보건소 접종자수</v>
      </c>
      <c r="C142" s="6" t="str">
        <v>int</v>
      </c>
      <c r="D142" s="10" t="str">
        <v>2016-2017절기 65세 이상 남성 보건소 접종자 수</v>
      </c>
    </row>
    <row r="143" spans="2:4" ht="18">
      <c r="B143" s="5" t="str">
        <v>2016-2017절기 65세 이상 여성 보건소 접종자수</v>
      </c>
      <c r="C143" s="6" t="str">
        <v>float</v>
      </c>
      <c r="D143" s="10" t="str">
        <v>2016-2017절기 65세 이상 여성 보건소 접종자 수</v>
      </c>
    </row>
    <row r="144" spans="2:4" ht="18">
      <c r="B144" s="5" t="str">
        <v>2016-2017절기 어린이 남성 의료기관 접종자수</v>
      </c>
      <c r="C144" s="6" t="str">
        <v xml:space="preserve">
int</v>
      </c>
      <c r="D144" s="10" t="str">
        <v>2016-2017절기 어린이 남성 의료기관 접종자 수</v>
      </c>
    </row>
    <row r="145" spans="2:4" ht="18">
      <c r="B145" s="5" t="str">
        <v>2016-2017절기 어린이 여성 의료기관 접종자수</v>
      </c>
      <c r="C145" s="6" t="str">
        <v>float</v>
      </c>
      <c r="D145" s="10" t="str">
        <v>2016-2017절기 어린이 여성 의료기관 접종자 수</v>
      </c>
    </row>
    <row r="146" spans="2:4" ht="18">
      <c r="B146" s="5" t="str">
        <v>2017-2018절기 65세 이상 남성 보건소 접종자수</v>
      </c>
      <c r="C146" s="6" t="str">
        <v>int</v>
      </c>
      <c r="D146" s="10" t="str">
        <v>2017-2018절기 65세 이상 남성 보건소 접종자 수</v>
      </c>
    </row>
    <row r="147" spans="2:4" ht="18">
      <c r="B147" s="5" t="str">
        <v>2017-2018절기 65세 이상 여성 보건소 접종자수</v>
      </c>
      <c r="C147" s="6" t="str">
        <v>float</v>
      </c>
      <c r="D147" s="10" t="str">
        <v>2017-2018절기 65세 이상 여성 보건소 접종자 수</v>
      </c>
    </row>
    <row r="148" spans="2:4" ht="18">
      <c r="B148" s="5" t="str">
        <v>2017-2018절기 어린이 남성 의료기관 접종자수</v>
      </c>
      <c r="C148" s="6" t="str">
        <v>int</v>
      </c>
      <c r="D148" s="10" t="str">
        <v>2017-2018절기 어린이 남성 의료기관 접종자 수</v>
      </c>
    </row>
    <row r="149" spans="2:4" ht="18">
      <c r="B149" s="5" t="str">
        <v>2017-2018절기 어린이 여성 의료기관 접종자수</v>
      </c>
      <c r="C149" s="6" t="str">
        <v>float</v>
      </c>
      <c r="D149" s="10" t="str">
        <v>2017-2018절기 어린이 여성 의료기관 접종자 수</v>
      </c>
    </row>
    <row r="150" spans="2:4" ht="18">
      <c r="B150" s="5" t="str">
        <v>2018-2019절기 65세 이상 남성 보건소 접종자수</v>
      </c>
      <c r="C150" s="6" t="str">
        <v xml:space="preserve">
int</v>
      </c>
      <c r="D150" s="10" t="str">
        <v>2018-2019절기 65세 이상 남성 보건소 접종자 수</v>
      </c>
    </row>
    <row r="151" spans="2:4" ht="18">
      <c r="B151" s="5" t="str">
        <v>2018-2019절기 65세 이상 여성 보건소 접종자수</v>
      </c>
      <c r="C151" s="6" t="str">
        <v>int</v>
      </c>
      <c r="D151" s="10" t="str">
        <v>2018-2019절기 65세 이상 여성 보건소 접종자 수</v>
      </c>
    </row>
    <row r="152" spans="2:4" ht="18">
      <c r="B152" s="5" t="str">
        <v>2018-2019절기 어린이 남성 의료기관 접종자수</v>
      </c>
      <c r="C152" s="6" t="str">
        <v>int</v>
      </c>
      <c r="D152" s="10" t="str">
        <v>2018-2019절기 어린이 남성 의료기관 접종자 수</v>
      </c>
    </row>
    <row r="153" spans="2:4" ht="18">
      <c r="B153" s="5" t="str">
        <v>2018-2019절기 어린이 여성 의료기관 접종자수</v>
      </c>
      <c r="C153" s="6" t="str">
        <v>int</v>
      </c>
      <c r="D153" s="10" t="str">
        <v>2018-2019절기 어린이 여성 의료기관 접종자 수</v>
      </c>
    </row>
    <row r="154" spans="2:4" ht="18">
      <c r="B154" s="5" t="str">
        <v>2019-2020절기 65세 이상 남성 보건소 접종자수</v>
      </c>
      <c r="C154" s="6" t="str">
        <v>int</v>
      </c>
      <c r="D154" s="10" t="str">
        <v>2019-2020절기 65세 이상 남성 보건소 접종자 수</v>
      </c>
    </row>
    <row r="155" spans="2:4" ht="18">
      <c r="B155" s="5" t="str">
        <v>2019-2020절기 65세 이상 여성 보건소 접종자수</v>
      </c>
      <c r="C155" s="6" t="str">
        <v xml:space="preserve">
int</v>
      </c>
      <c r="D155" s="10" t="str">
        <v>2019-2020절기 65세 이상 여성 보건소 접종자 수</v>
      </c>
    </row>
    <row r="156" spans="2:4" ht="18">
      <c r="B156" s="5" t="str">
        <v>2019-2020절기 어린이 남성 의료기관 접종자수</v>
      </c>
      <c r="C156" s="6" t="str">
        <v>int</v>
      </c>
      <c r="D156" s="10" t="str">
        <v>2019-2020절기 어린이 남성 의료기관 접종자 수</v>
      </c>
    </row>
    <row r="157" spans="2:4" ht="18">
      <c r="B157" s="5" t="str">
        <v>2019-2020절기 어린이 여성 의료기관 접종자수</v>
      </c>
      <c r="C157" s="6" t="str">
        <v>int</v>
      </c>
      <c r="D157" s="10" t="str">
        <v>2019-2020절기 어린이 여성 의료기관 접종자 수</v>
      </c>
    </row>
    <row r="158" spans="2:4" ht="18">
      <c r="B158" s="5" t="str">
        <v>2020-2021절기 65세 이상 남성 보건소 접종자수</v>
      </c>
      <c r="C158" s="6" t="str">
        <v>int</v>
      </c>
      <c r="D158" s="10" t="str">
        <v>2020-2021절기 65세 이상 남성 보건소 접종자 수</v>
      </c>
    </row>
    <row r="159" spans="2:4" ht="18">
      <c r="B159" s="5" t="str">
        <v>2020-2021절기 65세 이상 여성 보건소 접종자수</v>
      </c>
      <c r="C159" s="6" t="str">
        <v>int</v>
      </c>
      <c r="D159" s="10" t="str">
        <v>2020-2021절기 65세 이상 여성 보건소 접종자 수</v>
      </c>
    </row>
    <row r="160" spans="2:4" ht="18">
      <c r="B160" s="5" t="str">
        <v>2020-2021절기 어린이 남성 의료기관 접종자수</v>
      </c>
      <c r="C160" s="6" t="str">
        <v xml:space="preserve">
int</v>
      </c>
      <c r="D160" s="10" t="str">
        <v>2020-2021절기 어린이 남성 의료기관 접종자 수</v>
      </c>
    </row>
    <row r="161" spans="2:4" ht="18">
      <c r="B161" s="5" t="str">
        <v>2020-2021절기 어린이 여성 의료기관 접종자수</v>
      </c>
      <c r="C161" s="6" t="str">
        <v>int</v>
      </c>
      <c r="D161" s="10" t="str">
        <v>2020-2021절기 어린이 여성 의료기관 접종자 수</v>
      </c>
    </row>
    <row r="162" spans="2:4" ht="18">
      <c r="B162" s="5" t="str">
        <v>2021-2022절기 65세 이상 남성 보건소 접종자수</v>
      </c>
      <c r="C162" s="6" t="str">
        <v>int</v>
      </c>
      <c r="D162" s="10" t="str">
        <v>2021-2022절기 65세 이상 남성 보건소 접종자 수</v>
      </c>
    </row>
    <row r="163" spans="2:4" ht="18">
      <c r="B163" s="5" t="str">
        <v>2021-2022절기 65세 이상 여성 보건소 접종자수</v>
      </c>
      <c r="C163" s="6" t="str">
        <v>int</v>
      </c>
      <c r="D163" s="10" t="str">
        <v>2021-2022절기 65세 이상 여성 보건소 접종자 수</v>
      </c>
    </row>
    <row r="164" spans="2:4" ht="18">
      <c r="B164" s="5" t="str">
        <v>2021-2022절기 어린이 남성 의료기관 접종자수</v>
      </c>
      <c r="C164" s="6" t="str">
        <v>int</v>
      </c>
      <c r="D164" s="10" t="str">
        <v>2021-2022절기 어린이 남성 의료기관 접종자 수</v>
      </c>
    </row>
    <row r="165" spans="2:4" ht="18">
      <c r="B165" s="5" t="str">
        <v>2021-2022절기 어린이 여성 의료기관 접종자수</v>
      </c>
      <c r="C165" s="6" t="str">
        <v>int</v>
      </c>
      <c r="D165" s="10" t="str">
        <v>2021-2022절기 어린이 여성 의료기관 접종자 수</v>
      </c>
    </row>
    <row r="166" spans="2:4" ht="18">
      <c r="B166" s="5" t="str">
        <v>2022-2023절기 65세 이상 남성 보건소 접종자수</v>
      </c>
      <c r="C166" s="6" t="str">
        <v>int</v>
      </c>
      <c r="D166" s="10" t="str">
        <v>2022-2023절기 65세 이상 남성 보건소 접종자 수</v>
      </c>
    </row>
    <row r="167" spans="2:4" ht="18">
      <c r="B167" s="5" t="str">
        <v>2022-2023절기 65세 이상 여성 보건소 접종자수</v>
      </c>
      <c r="C167" s="6" t="str">
        <v>int</v>
      </c>
      <c r="D167" s="10" t="str">
        <v>2022-2023절기 65세 이상 여성 보건소 접종자 수</v>
      </c>
    </row>
    <row r="168" spans="2:4" ht="18">
      <c r="B168" s="5" t="str">
        <v>2022-2023절기 어린이 남성 의료기관 접종자수</v>
      </c>
      <c r="C168" s="6" t="str">
        <v>int</v>
      </c>
      <c r="D168" s="10" t="str">
        <v>2022-2023절기 어린이 남성 의료기관 접종자 수</v>
      </c>
    </row>
    <row r="169" spans="2:4" ht="18">
      <c r="B169" s="5" t="str">
        <v>2022-2023절기 어린이 여성 의료기관 접종자수</v>
      </c>
      <c r="C169" s="6" t="str">
        <v>int</v>
      </c>
      <c r="D169" s="10" t="str">
        <v>2022-2023절기 어린이 여성 의료기관 접종자 수</v>
      </c>
    </row>
    <row r="170" spans="2:4" ht="18">
      <c r="B170" s="5" t="str">
        <v>2023-2024절기 65세 이상 남성 보건소 접종자수</v>
      </c>
      <c r="C170" s="6" t="str">
        <v>int</v>
      </c>
      <c r="D170" s="10" t="str">
        <v>2023-2024절기 65세 이상 남성 보건소 접종자 수</v>
      </c>
    </row>
    <row r="171" spans="2:4" ht="18">
      <c r="B171" s="5" t="str">
        <v>2023-2024절기 65세 이상 여성 보건소 접종자수</v>
      </c>
      <c r="C171" s="6" t="str">
        <v>int</v>
      </c>
      <c r="D171" s="10" t="str">
        <v>2023-2024절기 65세 이상 여성 보건소 접종자 수</v>
      </c>
    </row>
    <row r="172" spans="2:4" ht="18">
      <c r="B172" s="5" t="str">
        <v>2023-2024절기 어린이 남성 의료기관 접종자수</v>
      </c>
      <c r="C172" s="6" t="str">
        <v>int</v>
      </c>
      <c r="D172" s="10" t="str">
        <v>2023-2024절기 어린이 남성 의료기관 접종자 수</v>
      </c>
    </row>
    <row r="173" spans="2:4" ht="18">
      <c r="B173" s="5" t="str">
        <v>2023-2024절기 어린이 여성 의료기관 접종자수</v>
      </c>
      <c r="C173" s="6" t="str">
        <v>int</v>
      </c>
      <c r="D173" s="10" t="str">
        <v>2023-2024절기 어린이 여성 의료기관 접종자 수</v>
      </c>
    </row>
    <row r="174" spans="2:4" ht="18">
      <c r="B174" s="5" t="str">
        <v>2015-2016절기 65세 이상 남성 의료기관 접종자수</v>
      </c>
      <c r="C174" s="6" t="str">
        <v>int</v>
      </c>
      <c r="D174" s="10" t="str">
        <v>2015-2016절기 65세 이상 남성 의료기관 접종자 수</v>
      </c>
    </row>
    <row r="175" spans="2:4" ht="18">
      <c r="B175" s="5" t="str">
        <v>2015-2016절기 65세 이상 여성 의료기관 접종자수</v>
      </c>
      <c r="C175" s="6" t="str">
        <v>int</v>
      </c>
      <c r="D175" s="10" t="str">
        <v>2015-2016절기 65세 이상 여성 의료기관 접종자 수</v>
      </c>
    </row>
    <row r="176" spans="2:4" ht="18">
      <c r="B176" s="5" t="str">
        <v>2016-2017절기 65세 이상 남성 의료기관 접종자수</v>
      </c>
      <c r="C176" s="6" t="str">
        <v xml:space="preserve">
int</v>
      </c>
      <c r="D176" s="10" t="str">
        <v>2016-2017절기 65세 이상 남성 의료기관 접종자 수</v>
      </c>
    </row>
    <row r="177" spans="2:4" ht="18">
      <c r="B177" s="5" t="str">
        <v>2016-2017절기 65세 이상 여성 의료기관 접종자수</v>
      </c>
      <c r="C177" s="6" t="str">
        <v>int</v>
      </c>
      <c r="D177" s="10" t="str">
        <v>2016-2017절기 65세 이상 여성 의료기관 접종자 수</v>
      </c>
    </row>
    <row r="178" spans="2:4" ht="18">
      <c r="B178" s="5" t="str">
        <v>2017-2018절기 65세 이상 남성 의료기관 접종자수</v>
      </c>
      <c r="C178" s="6" t="str">
        <v>int</v>
      </c>
      <c r="D178" s="10" t="str">
        <v>2017-2018절기 65세 이상 남성 의료기관 접종자 수</v>
      </c>
    </row>
    <row r="179" spans="2:4" ht="18">
      <c r="B179" s="5" t="str">
        <v>2017-2018절기 65세 이상 여성 의료기관 접종자수</v>
      </c>
      <c r="C179" s="6" t="str">
        <v>int</v>
      </c>
      <c r="D179" s="10" t="str">
        <v>2017-2018절기 65세 이상 여성 의료기관 접종자 수</v>
      </c>
    </row>
    <row r="180" spans="2:4" ht="18">
      <c r="B180" s="5" t="str">
        <v>2018-2019절기 65세 이상 남성 의료기관 접종자수</v>
      </c>
      <c r="C180" s="6" t="str">
        <v>int</v>
      </c>
      <c r="D180" s="10" t="str">
        <v>2018-2019절기 65세 이상 남성 의료기관 접종자 수</v>
      </c>
    </row>
    <row r="181" spans="2:4" ht="18">
      <c r="B181" s="5" t="str">
        <v>2018-2019절기 65세 이상 여성 의료기관 접종자수</v>
      </c>
      <c r="C181" s="6" t="str">
        <v>int</v>
      </c>
      <c r="D181" s="10" t="str">
        <v>2018-2019절기 65세 이상 여성 의료기관 접종자 수</v>
      </c>
    </row>
    <row r="182" spans="2:4" ht="18">
      <c r="B182" s="5" t="str">
        <v>2019-2020절기 65세 이상 남성 의료기관 접종자수</v>
      </c>
      <c r="C182" s="6" t="str">
        <v>int</v>
      </c>
      <c r="D182" s="10" t="str">
        <v>2019-2020절기 65세 이상 남성 의료기관 접종자 수</v>
      </c>
    </row>
    <row r="183" spans="2:4" ht="18">
      <c r="B183" s="5" t="str">
        <v>2019-2020절기 65세 이상 여성 의료기관 접종자수</v>
      </c>
      <c r="C183" s="6" t="str">
        <v>int</v>
      </c>
      <c r="D183" s="10" t="str">
        <v>2019-2020절기 65세 이상 여성 의료기관 접종자 수</v>
      </c>
    </row>
    <row r="184" spans="2:4" ht="18">
      <c r="B184" s="5" t="str">
        <v>2020-2021절기 65세 이상 남성 의료기관 접종자수</v>
      </c>
      <c r="C184" s="6" t="str">
        <v>int</v>
      </c>
      <c r="D184" s="10" t="str">
        <v>2020-2021절기 65세 이상 남성 의료기관 접종자 수</v>
      </c>
    </row>
    <row r="185" spans="2:4" ht="18">
      <c r="B185" s="5" t="str">
        <v>2020-2021절기 65세 이상 여성 의료기관 접종자수</v>
      </c>
      <c r="C185" s="6" t="str">
        <v>int</v>
      </c>
      <c r="D185" s="10" t="str">
        <v>2020-2021절기 65세 이상 여성 의료기관 접종자 수</v>
      </c>
    </row>
    <row r="186" spans="2:4" ht="18">
      <c r="B186" s="5" t="str">
        <v>2021-2022절기 65세 이상 남성 의료기관 접종자수</v>
      </c>
      <c r="C186" s="6" t="str">
        <v>int</v>
      </c>
      <c r="D186" s="10" t="str">
        <v>2021-2022절기 65세 이상 남성 의료기관 접종자 수</v>
      </c>
    </row>
    <row r="187" spans="2:4" ht="18">
      <c r="B187" s="5" t="str">
        <v>2021-2022절기 65세 이상 여성 의료기관 접종자수</v>
      </c>
      <c r="C187" s="6" t="str">
        <v>int</v>
      </c>
      <c r="D187" s="10" t="str">
        <v>2021-2022절기 65세 이상 여성 의료기관 접종자 수</v>
      </c>
    </row>
    <row r="188" spans="2:4" ht="18">
      <c r="B188" s="5" t="str">
        <v>2022-2023절기 65세 이상 남성 의료기관 접종자수</v>
      </c>
      <c r="C188" s="6" t="str">
        <v>int</v>
      </c>
      <c r="D188" s="10" t="str">
        <v>2022-2023절기 65세 이상 남성 의료기관 접종자 수</v>
      </c>
    </row>
    <row r="189" spans="2:4" ht="18">
      <c r="B189" s="5" t="str">
        <v>2022-2023절기 65세 이상 여성 의료기관 접종자수</v>
      </c>
      <c r="C189" s="6" t="str">
        <v>int</v>
      </c>
      <c r="D189" s="10" t="str">
        <v>2022-2023절기 65세 이상 여성 의료기관 접종자 수</v>
      </c>
    </row>
    <row r="190" spans="2:4" ht="18">
      <c r="B190" s="5" t="str">
        <v>2023-2024절기 65세 이상 남성 의료기관 접종자수</v>
      </c>
      <c r="C190" s="6" t="str">
        <v>int</v>
      </c>
      <c r="D190" s="10" t="str">
        <v>2023-2024절기 65세 이상 남성 의료기관 접종자 수</v>
      </c>
    </row>
    <row r="191" spans="2:4" ht="18">
      <c r="B191" s="5" t="str">
        <v>2023-2024절기 65세 이상 여성 의료기관 접종자수</v>
      </c>
      <c r="C191" s="6" t="str">
        <v>int</v>
      </c>
      <c r="D191" s="10" t="str">
        <v>2023-2024절기 65세 이상 여성 의료기관 접종자 수</v>
      </c>
    </row>
    <row r="192" spans="2:4">
      <c r="C192" t="str">
        <v xml:space="preserve">
int</v>
      </c>
    </row>
    <row r="193" spans="3:3">
      <c r="C193" t="str">
        <v>int</v>
      </c>
    </row>
    <row r="194" spans="3:3">
      <c r="C194" t="str">
        <v>int</v>
      </c>
    </row>
    <row r="195" spans="3:3">
      <c r="C195" t="str">
        <v>int</v>
      </c>
    </row>
    <row r="196" spans="3:3">
      <c r="C196" t="str">
        <v>int</v>
      </c>
    </row>
    <row r="197" spans="3:3">
      <c r="C197" t="str">
        <v>int</v>
      </c>
    </row>
    <row r="198" spans="3:3">
      <c r="C198" t="str">
        <v>int</v>
      </c>
    </row>
    <row r="199" spans="3:3">
      <c r="C199" t="str">
        <v>int</v>
      </c>
    </row>
    <row r="200" spans="3:3">
      <c r="C200" t="str">
        <v>int</v>
      </c>
    </row>
    <row r="201" spans="3:3">
      <c r="C201" t="str">
        <v>int</v>
      </c>
    </row>
    <row r="202" spans="3:3">
      <c r="C202" t="str">
        <v>int</v>
      </c>
    </row>
    <row r="203" spans="3:3">
      <c r="C203" t="str">
        <v>int</v>
      </c>
    </row>
    <row r="204" spans="3:3">
      <c r="C204" t="str">
        <v>int</v>
      </c>
    </row>
    <row r="205" spans="3:3">
      <c r="C205" t="str">
        <v>int</v>
      </c>
    </row>
    <row r="206" spans="3:3">
      <c r="C206" t="str">
        <v>int</v>
      </c>
    </row>
    <row r="207" spans="3:3">
      <c r="C207" t="str">
        <v>int</v>
      </c>
    </row>
    <row r="208" spans="3:3">
      <c r="C208" t="str">
        <v xml:space="preserve">
int</v>
      </c>
    </row>
    <row r="209" spans="3:3">
      <c r="C209" t="str">
        <v>int</v>
      </c>
    </row>
    <row r="210" spans="3:3">
      <c r="C210" t="str">
        <v>int</v>
      </c>
    </row>
    <row r="211" spans="3:3">
      <c r="C211" t="str">
        <v>int</v>
      </c>
    </row>
    <row r="212" spans="3:3">
      <c r="C212" t="str">
        <v>int</v>
      </c>
    </row>
    <row r="213" spans="3:3">
      <c r="C213" t="str">
        <v>int</v>
      </c>
    </row>
    <row r="214" spans="3:3">
      <c r="C214" t="str">
        <v>int</v>
      </c>
    </row>
    <row r="215" spans="3:3">
      <c r="C215" t="str">
        <v>int</v>
      </c>
    </row>
    <row r="216" spans="3:3">
      <c r="C216" t="str">
        <v>int</v>
      </c>
    </row>
    <row r="217" spans="3:3">
      <c r="C217" t="str">
        <v>int</v>
      </c>
    </row>
    <row r="218" spans="3:3">
      <c r="C218" t="str">
        <v>int</v>
      </c>
    </row>
    <row r="219" spans="3:3">
      <c r="C219" t="str">
        <v>int</v>
      </c>
    </row>
    <row r="220" spans="3:3">
      <c r="C220" t="str">
        <v>int</v>
      </c>
    </row>
    <row r="221" spans="3:3">
      <c r="C221" t="str">
        <v>int</v>
      </c>
    </row>
    <row r="222" spans="3:3">
      <c r="C222" t="str">
        <v>int</v>
      </c>
    </row>
    <row r="223" spans="3:3">
      <c r="C223" t="str">
        <v>int</v>
      </c>
    </row>
    <row r="224" spans="3:3">
      <c r="C224" t="str">
        <v xml:space="preserve">
int</v>
      </c>
    </row>
    <row r="225" spans="3:3">
      <c r="C225" t="str">
        <v>int</v>
      </c>
    </row>
    <row r="226" spans="3:3">
      <c r="C226" t="str">
        <v>int</v>
      </c>
    </row>
    <row r="227" spans="3:3">
      <c r="C227" t="str">
        <v>int</v>
      </c>
    </row>
    <row r="228" spans="3:3">
      <c r="C228" t="str">
        <v>int</v>
      </c>
    </row>
    <row r="229" spans="3:3">
      <c r="C229" t="str">
        <v>int</v>
      </c>
    </row>
    <row r="230" spans="3:3">
      <c r="C230" t="str">
        <v>int</v>
      </c>
    </row>
    <row r="231" spans="3:3">
      <c r="C231" t="str">
        <v>int</v>
      </c>
    </row>
    <row r="232" spans="3:3">
      <c r="C232" t="str">
        <v>int</v>
      </c>
    </row>
    <row r="233" spans="3:3">
      <c r="C233" t="str">
        <v>int</v>
      </c>
    </row>
    <row r="234" spans="3:3">
      <c r="C234" t="str">
        <v>int</v>
      </c>
    </row>
    <row r="235" spans="3:3">
      <c r="C235" t="str">
        <v>int</v>
      </c>
    </row>
    <row r="236" spans="3:3">
      <c r="C236" t="str">
        <v>int</v>
      </c>
    </row>
    <row r="237" spans="3:3">
      <c r="C237" t="str">
        <v>int</v>
      </c>
    </row>
    <row r="238" spans="3:3">
      <c r="C238" t="str">
        <v>int</v>
      </c>
    </row>
    <row r="239" spans="3:3">
      <c r="C239" t="str">
        <v>int</v>
      </c>
    </row>
  </sheetData>
  <phoneticPr fontId="5"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0ADC0-DFFF-9640-8804-C270017676C6}">
  <dimension ref="B3:P22"/>
  <sheetViews>
    <sheetView topLeftCell="L1" workbookViewId="0">
      <selection activeCell="F18" sqref="F18"/>
    </sheetView>
  </sheetViews>
  <sheetFormatPr baseColWidth="10" defaultRowHeight="17"/>
  <cols>
    <col min="2" max="2" width="14.83203125" bestFit="1" customWidth="1"/>
    <col min="3" max="3" width="24.6640625" customWidth="1"/>
    <col min="4" max="4" width="65.83203125" bestFit="1" customWidth="1"/>
  </cols>
  <sheetData>
    <row r="3" spans="2:16" ht="18">
      <c r="B3" s="2" t="s">
        <v>39</v>
      </c>
      <c r="C3" s="3" t="str">
        <f>'Dataset Summary'!A25</f>
        <v>ds_0701</v>
      </c>
    </row>
    <row r="4" spans="2:16" ht="18">
      <c r="B4" s="2" t="s">
        <v>40</v>
      </c>
      <c r="C4" s="3" t="str">
        <f>'Dataset Summary'!B25</f>
        <v>구글 트렌드</v>
      </c>
    </row>
    <row r="5" spans="2:16" ht="18">
      <c r="B5" s="2" t="s">
        <v>41</v>
      </c>
      <c r="C5" s="4">
        <f>'Dataset Summary'!C25</f>
        <v>114</v>
      </c>
    </row>
    <row r="6" spans="2:16" ht="18">
      <c r="B6" s="2" t="s">
        <v>34</v>
      </c>
      <c r="C6" s="3" t="str">
        <f>'Dataset Summary'!D25</f>
        <v>감기,기침,독감,몸살,콧물,﻿time,감기약,A형 독감,타미플루,감기 증상,독감 검사,독감 증상,목 아플 때,독감 예방접종</v>
      </c>
    </row>
    <row r="9" spans="2:16" ht="18">
      <c r="B9" s="5" t="str" cm="1">
        <f t="array" ref="B9:B22">TRANSPOSE(_xlfn.TEXTSPLIT(C6, ","))</f>
        <v>감기</v>
      </c>
      <c r="C9" s="6" t="str" cm="1">
        <f t="array" ref="C9:C22">TRANSPOSE(_xlfn.TEXTSPLIT(P11, ","))</f>
        <v>int</v>
      </c>
      <c r="D9" s="10" t="str" cm="1">
        <f t="array" ref="D9:D22">TRANSPOSE(_xlfn.TEXTSPLIT(P9, ","))</f>
        <v>감기 관련 검색 또는 언급 빈도를 나타내는 지표</v>
      </c>
      <c r="P9" t="s">
        <v>96</v>
      </c>
    </row>
    <row r="10" spans="2:16" ht="18">
      <c r="B10" s="5" t="str">
        <v>기침</v>
      </c>
      <c r="C10" s="6" t="str">
        <v>int</v>
      </c>
      <c r="D10" s="10" t="str">
        <v>기침 증상과 관련된 검색 또는 언급 빈도를 나타내는 지표</v>
      </c>
    </row>
    <row r="11" spans="2:16" ht="18">
      <c r="B11" s="5" t="str">
        <v>독감</v>
      </c>
      <c r="C11" s="6" t="str">
        <v>int</v>
      </c>
      <c r="D11" s="10" t="str">
        <v>독감과 관련된 검색 또는 언급 빈도를 나타내는 지표</v>
      </c>
      <c r="P11" t="s">
        <v>97</v>
      </c>
    </row>
    <row r="12" spans="2:16" ht="18">
      <c r="B12" s="5" t="str">
        <v>몸살</v>
      </c>
      <c r="C12" s="6" t="str">
        <v>int</v>
      </c>
      <c r="D12" s="10" t="str">
        <v>몸살 증상과 관련된 검색 또는 언급 빈도를 나타내는 지표</v>
      </c>
    </row>
    <row r="13" spans="2:16" ht="18">
      <c r="B13" s="5" t="str">
        <v>콧물</v>
      </c>
      <c r="C13" s="6" t="str">
        <v>int</v>
      </c>
      <c r="D13" s="10" t="str">
        <v>콧물 증상과 관련된 검색 또는 언급 빈도를 나타내는 지표</v>
      </c>
    </row>
    <row r="14" spans="2:16" ht="18">
      <c r="B14" s="5" t="str">
        <v>﻿time</v>
      </c>
      <c r="C14" s="6" t="str">
        <v>string</v>
      </c>
      <c r="D14" s="10" t="str">
        <v>데이터가 수집된 기준 시각 또는 날짜</v>
      </c>
    </row>
    <row r="15" spans="2:16" ht="18">
      <c r="B15" s="5" t="str">
        <v>감기약</v>
      </c>
      <c r="C15" s="6" t="str">
        <v>int</v>
      </c>
      <c r="D15" s="10" t="str">
        <v>감기약과 관련된 검색 또는 언급 빈도를 나타내는 지표</v>
      </c>
    </row>
    <row r="16" spans="2:16" ht="18">
      <c r="B16" s="5" t="str">
        <v>A형 독감</v>
      </c>
      <c r="C16" s="6" t="str">
        <v>int</v>
      </c>
      <c r="D16" s="10" t="str">
        <v>A형 독감과 관련된 검색 또는 언급 빈도를 나타내는 지표</v>
      </c>
    </row>
    <row r="17" spans="2:4" ht="18">
      <c r="B17" s="5" t="str">
        <v>타미플루</v>
      </c>
      <c r="C17" s="6" t="str">
        <v>int</v>
      </c>
      <c r="D17" s="10" t="str">
        <v>항바이러스제 타미플루와 관련된 검색 또는 언급 빈도를 나타내는 지표</v>
      </c>
    </row>
    <row r="18" spans="2:4" ht="18">
      <c r="B18" s="5" t="str">
        <v>감기 증상</v>
      </c>
      <c r="C18" s="6" t="str">
        <v>int</v>
      </c>
      <c r="D18" s="10" t="str">
        <v>감기 증상 전반에 대한 검색 또는 언급 빈도를 나타내는 지표</v>
      </c>
    </row>
    <row r="19" spans="2:4" ht="18">
      <c r="B19" s="5" t="str">
        <v>독감 검사</v>
      </c>
      <c r="C19" s="6" t="str">
        <v>int</v>
      </c>
      <c r="D19" s="10" t="str">
        <v>독감 검사와 관련된 검색 또는 언급 빈도를 나타내는 지표</v>
      </c>
    </row>
    <row r="20" spans="2:4" ht="18">
      <c r="B20" s="5" t="str">
        <v>독감 증상</v>
      </c>
      <c r="C20" s="6" t="str">
        <v>int</v>
      </c>
      <c r="D20" s="10" t="str">
        <v>독감 증상 전반에 대한 검색 또는 언급 빈도를 나타내는 지표</v>
      </c>
    </row>
    <row r="21" spans="2:4" ht="18">
      <c r="B21" s="5" t="str">
        <v>목 아플 때</v>
      </c>
      <c r="C21" s="6" t="str">
        <v>int</v>
      </c>
      <c r="D21" s="10" t="str">
        <v>목 통증 증상과 관련된 검색 또는 언급 빈도를 나타내는 지표</v>
      </c>
    </row>
    <row r="22" spans="2:4" ht="18">
      <c r="B22" s="5" t="str">
        <v>독감 예방접종</v>
      </c>
      <c r="C22" s="6" t="str">
        <v>int</v>
      </c>
      <c r="D22" s="10" t="str">
        <v>독감 예방접종과 관련된 검색 또는 언급 빈도를 나타내는 지표</v>
      </c>
    </row>
  </sheetData>
  <phoneticPr fontId="5"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04599-CFAC-6E43-AAC1-1C6A562B4BEB}">
  <dimension ref="B4:P23"/>
  <sheetViews>
    <sheetView workbookViewId="0">
      <selection activeCell="B4" sqref="B4:D23"/>
    </sheetView>
  </sheetViews>
  <sheetFormatPr baseColWidth="10" defaultRowHeight="17"/>
  <cols>
    <col min="4" max="4" width="58.1640625" customWidth="1"/>
  </cols>
  <sheetData>
    <row r="4" spans="2:16" ht="18">
      <c r="B4" s="2" t="s">
        <v>39</v>
      </c>
      <c r="C4" s="3" t="str">
        <f>'Dataset Summary'!A26</f>
        <v>ds_0801</v>
      </c>
    </row>
    <row r="5" spans="2:16" ht="18">
      <c r="B5" s="2" t="s">
        <v>40</v>
      </c>
      <c r="C5" s="3" t="str">
        <f>'Dataset Summary'!B26</f>
        <v>네이버 트렌드</v>
      </c>
    </row>
    <row r="6" spans="2:16" ht="18">
      <c r="B6" s="2" t="s">
        <v>41</v>
      </c>
      <c r="C6" s="4">
        <f>'Dataset Summary'!C26</f>
        <v>118</v>
      </c>
    </row>
    <row r="7" spans="2:16" ht="18">
      <c r="B7" s="2" t="s">
        <v>34</v>
      </c>
      <c r="C7" s="3" t="str">
        <f>'Dataset Summary'!D26</f>
        <v>감기,기침,독감,몸살,콧물,﻿time,감기약,A형 독감,타미플루,감기 증상,독감 검사,독감 증상,목 아플 때,독감 예방접종</v>
      </c>
    </row>
    <row r="10" spans="2:16" ht="18">
      <c r="B10" s="5" t="str" cm="1">
        <f t="array" ref="B10:B23">TRANSPOSE(_xlfn.TEXTSPLIT(C7, ","))</f>
        <v>감기</v>
      </c>
      <c r="C10" s="6" t="str" cm="1">
        <f t="array" ref="C10:C23">TRANSPOSE(_xlfn.TEXTSPLIT(P12, ","))</f>
        <v>int</v>
      </c>
      <c r="D10" s="10" t="str" cm="1">
        <f t="array" ref="D10:D23">TRANSPOSE(_xlfn.TEXTSPLIT(P10, ","))</f>
        <v>감기와 관련된 검색 또는 언급 빈도를 나타내는 지표</v>
      </c>
      <c r="P10" t="s">
        <v>98</v>
      </c>
    </row>
    <row r="11" spans="2:16" ht="18">
      <c r="B11" s="5" t="str">
        <v>기침</v>
      </c>
      <c r="C11" s="6" t="str">
        <v>int</v>
      </c>
      <c r="D11" s="10" t="str">
        <v>기침 증상과 관련된 검색 또는 언급 빈도를 나타내는 지표</v>
      </c>
    </row>
    <row r="12" spans="2:16" ht="18">
      <c r="B12" s="5" t="str">
        <v>독감</v>
      </c>
      <c r="C12" s="6" t="str">
        <v>int</v>
      </c>
      <c r="D12" s="10" t="str">
        <v>독감과 관련된 검색 또는 언급 빈도를 나타내는 지표</v>
      </c>
      <c r="P12" t="s">
        <v>97</v>
      </c>
    </row>
    <row r="13" spans="2:16" ht="18">
      <c r="B13" s="5" t="str">
        <v>몸살</v>
      </c>
      <c r="C13" s="6" t="str">
        <v>int</v>
      </c>
      <c r="D13" s="10" t="str">
        <v>몸살 증상과 관련된 검색 또는 언급 빈도를 나타내는 지표</v>
      </c>
    </row>
    <row r="14" spans="2:16" ht="18">
      <c r="B14" s="5" t="str">
        <v>콧물</v>
      </c>
      <c r="C14" s="6" t="str">
        <v>int</v>
      </c>
      <c r="D14" s="10" t="str">
        <v>콧물 증상과 관련된 검색 또는 언급 빈도를 나타내는 지표</v>
      </c>
    </row>
    <row r="15" spans="2:16" ht="18">
      <c r="B15" s="5" t="str">
        <v>﻿time</v>
      </c>
      <c r="C15" s="6" t="str">
        <v>string</v>
      </c>
      <c r="D15" s="10" t="str">
        <v>데이터가 수집된 기준 시각 또는 날짜</v>
      </c>
    </row>
    <row r="16" spans="2:16" ht="18">
      <c r="B16" s="5" t="str">
        <v>감기약</v>
      </c>
      <c r="C16" s="6" t="str">
        <v>int</v>
      </c>
      <c r="D16" s="10" t="str">
        <v>감기약과 관련된 검색 또는 언급 빈도를 나타내는 지표</v>
      </c>
    </row>
    <row r="17" spans="2:4" ht="18">
      <c r="B17" s="5" t="str">
        <v>A형 독감</v>
      </c>
      <c r="C17" s="6" t="str">
        <v>int</v>
      </c>
      <c r="D17" s="10" t="str">
        <v>A형 독감과 관련된 검색 또는 언급 빈도를 나타내는 지표</v>
      </c>
    </row>
    <row r="18" spans="2:4" ht="18">
      <c r="B18" s="5" t="str">
        <v>타미플루</v>
      </c>
      <c r="C18" s="6" t="str">
        <v>int</v>
      </c>
      <c r="D18" s="10" t="str">
        <v>항바이러스제 타미플루와 관련된 검색 또는 언급 빈도를 나타내는 지표</v>
      </c>
    </row>
    <row r="19" spans="2:4" ht="18">
      <c r="B19" s="5" t="str">
        <v>감기 증상</v>
      </c>
      <c r="C19" s="6" t="str">
        <v>int</v>
      </c>
      <c r="D19" s="10" t="str">
        <v>감기 증상 전반에 대한 검색 또는 언급 빈도를 나타내는 지표</v>
      </c>
    </row>
    <row r="20" spans="2:4" ht="18">
      <c r="B20" s="5" t="str">
        <v>독감 검사</v>
      </c>
      <c r="C20" s="6" t="str">
        <v>int</v>
      </c>
      <c r="D20" s="10" t="str">
        <v>독감 검사와 관련된 검색 또는 언급 빈도를 나타내는 지표</v>
      </c>
    </row>
    <row r="21" spans="2:4" ht="18">
      <c r="B21" s="5" t="str">
        <v>독감 증상</v>
      </c>
      <c r="C21" s="6" t="str">
        <v>int</v>
      </c>
      <c r="D21" s="10" t="str">
        <v>독감 증상 전반에 대한 검색 또는 언급 빈도를 나타내는 지표</v>
      </c>
    </row>
    <row r="22" spans="2:4" ht="18">
      <c r="B22" s="5" t="str">
        <v>목 아플 때</v>
      </c>
      <c r="C22" s="6" t="str">
        <v>int</v>
      </c>
      <c r="D22" s="10" t="str">
        <v>목 통증 증상과 관련된 검색 또는 언급 빈도를 나타내는 지표</v>
      </c>
    </row>
    <row r="23" spans="2:4" ht="18">
      <c r="B23" s="5" t="str">
        <v>독감 예방접종</v>
      </c>
      <c r="C23" s="6" t="str">
        <v>int</v>
      </c>
      <c r="D23" s="10" t="str">
        <v>독감 예방접종과 관련된 검색 또는 언급 빈도를 나타내는 지표</v>
      </c>
    </row>
  </sheetData>
  <phoneticPr fontId="5"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64597-DAE0-2844-8A1D-DFF821995E0F}">
  <dimension ref="B3:D11"/>
  <sheetViews>
    <sheetView workbookViewId="0">
      <selection activeCell="K29" sqref="K29"/>
    </sheetView>
  </sheetViews>
  <sheetFormatPr baseColWidth="10" defaultRowHeight="17"/>
  <cols>
    <col min="2" max="2" width="14.6640625" customWidth="1"/>
    <col min="3" max="3" width="16.5" customWidth="1"/>
  </cols>
  <sheetData>
    <row r="3" spans="2:4" ht="18">
      <c r="B3" s="2" t="s">
        <v>39</v>
      </c>
      <c r="C3" s="3" t="str">
        <f>'Dataset Summary'!A27</f>
        <v>ds_0901</v>
      </c>
    </row>
    <row r="4" spans="2:4" ht="18">
      <c r="B4" s="2" t="s">
        <v>40</v>
      </c>
      <c r="C4" s="3" t="str">
        <f>'Dataset Summary'!B27</f>
        <v>X(트위터) 트렌드</v>
      </c>
    </row>
    <row r="5" spans="2:4" ht="18">
      <c r="B5" s="2" t="s">
        <v>41</v>
      </c>
      <c r="C5" s="4">
        <f>'Dataset Summary'!C27</f>
        <v>309</v>
      </c>
    </row>
    <row r="6" spans="2:4" ht="18">
      <c r="B6" s="2" t="s">
        <v>34</v>
      </c>
      <c r="C6" s="3" t="str">
        <f>'Dataset Summary'!D27</f>
        <v>count,﻿day,keyword</v>
      </c>
    </row>
    <row r="9" spans="2:4" ht="18">
      <c r="B9" s="5" t="str" cm="1">
        <f t="array" ref="B9:B11">TRANSPOSE(_xlfn.TEXTSPLIT(C6, ","))</f>
        <v>count</v>
      </c>
      <c r="C9" s="6" t="s">
        <v>43</v>
      </c>
      <c r="D9" s="10" t="s">
        <v>100</v>
      </c>
    </row>
    <row r="10" spans="2:4" ht="18">
      <c r="B10" s="5" t="str">
        <v>﻿day</v>
      </c>
      <c r="C10" s="6" t="s">
        <v>43</v>
      </c>
      <c r="D10" s="10" t="s">
        <v>101</v>
      </c>
    </row>
    <row r="11" spans="2:4" ht="18">
      <c r="B11" s="5" t="str">
        <v>keyword</v>
      </c>
      <c r="C11" s="6" t="s">
        <v>42</v>
      </c>
      <c r="D11" s="10" t="s">
        <v>102</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25</vt:i4>
      </vt:variant>
    </vt:vector>
  </HeadingPairs>
  <TitlesOfParts>
    <vt:vector size="25" baseType="lpstr">
      <vt:lpstr>Dataset Summary</vt:lpstr>
      <vt:lpstr>ds_0101</vt:lpstr>
      <vt:lpstr>ds_0102</vt:lpstr>
      <vt:lpstr>ds_0103</vt:lpstr>
      <vt:lpstr>ds_0104</vt:lpstr>
      <vt:lpstr>ds_0105</vt:lpstr>
      <vt:lpstr>ds_0106</vt:lpstr>
      <vt:lpstr>ds_0107</vt:lpstr>
      <vt:lpstr>ds_0108</vt:lpstr>
      <vt:lpstr>ds_0109</vt:lpstr>
      <vt:lpstr>ds_0110</vt:lpstr>
      <vt:lpstr>ds_0111</vt:lpstr>
      <vt:lpstr>ds_0201</vt:lpstr>
      <vt:lpstr>ds_0202</vt:lpstr>
      <vt:lpstr>ds_0401</vt:lpstr>
      <vt:lpstr>ds_0501</vt:lpstr>
      <vt:lpstr>ds_0502</vt:lpstr>
      <vt:lpstr>ds_0503</vt:lpstr>
      <vt:lpstr>ds_0504</vt:lpstr>
      <vt:lpstr>ds_0505</vt:lpstr>
      <vt:lpstr>ds_0506</vt:lpstr>
      <vt:lpstr>ds_0507</vt:lpstr>
      <vt:lpstr>ds_0701</vt:lpstr>
      <vt:lpstr>ds_0801</vt:lpstr>
      <vt:lpstr>ds_0901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윤수영</cp:lastModifiedBy>
  <dcterms:created xsi:type="dcterms:W3CDTF">2026-01-05T06:27:35Z</dcterms:created>
  <dcterms:modified xsi:type="dcterms:W3CDTF">2026-01-08T03:52:47Z</dcterms:modified>
</cp:coreProperties>
</file>